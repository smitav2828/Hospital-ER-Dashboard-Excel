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defaultThemeVersion="166925"/>
  <mc:AlternateContent xmlns:mc="http://schemas.openxmlformats.org/markup-compatibility/2006">
    <mc:Choice Requires="x15">
      <x15ac:absPath xmlns:x15ac="http://schemas.microsoft.com/office/spreadsheetml/2010/11/ac" url="C:\Users\Anudip\Downloads\"/>
    </mc:Choice>
  </mc:AlternateContent>
  <xr:revisionPtr revIDLastSave="0" documentId="8_{625EBA80-076D-4EB5-81D9-69CF4B0A40E1}" xr6:coauthVersionLast="37" xr6:coauthVersionMax="37" xr10:uidLastSave="{00000000-0000-0000-0000-000000000000}"/>
  <bookViews>
    <workbookView xWindow="0" yWindow="0" windowWidth="24000" windowHeight="9405" activeTab="1" xr2:uid="{E0D9172E-9DA5-4330-98CD-01D0BF1B23C0}"/>
  </bookViews>
  <sheets>
    <sheet name="Pivot_Report" sheetId="1" r:id="rId1"/>
    <sheet name="Dashboard" sheetId="2" r:id="rId2"/>
    <sheet name="Department Reffral Of The Patie" sheetId="8" r:id="rId3"/>
    <sheet name="Average_Patient_Satisfaction_S " sheetId="6" r:id="rId4"/>
    <sheet name="Number Of Patients Chart" sheetId="3" r:id="rId5"/>
    <sheet name="Average Patient Waittime" sheetId="4" r:id="rId6"/>
    <sheet name="No.Of Patient By Age Group" sheetId="7" r:id="rId7"/>
  </sheets>
  <definedNames>
    <definedName name="Slicer_Dates__Month">#N/A</definedName>
    <definedName name="Slicer_Dates__Year">#N/A</definedName>
  </definedNames>
  <calcPr calcId="179021"/>
  <pivotCaches>
    <pivotCache cacheId="3620" r:id="rId8"/>
    <pivotCache cacheId="3623" r:id="rId9"/>
    <pivotCache cacheId="3626" r:id="rId10"/>
    <pivotCache cacheId="3629" r:id="rId11"/>
    <pivotCache cacheId="3632" r:id="rId12"/>
    <pivotCache cacheId="3635" r:id="rId13"/>
    <pivotCache cacheId="3638" r:id="rId14"/>
    <pivotCache cacheId="3641" r:id="rId15"/>
    <pivotCache cacheId="3644" r:id="rId16"/>
    <pivotCache cacheId="3647" r:id="rId17"/>
    <pivotCache cacheId="3650" r:id="rId18"/>
    <pivotCache cacheId="3653" r:id="rId19"/>
  </pivotCaches>
  <extLst>
    <ext xmlns:x14="http://schemas.microsoft.com/office/spreadsheetml/2009/9/main" uri="{876F7934-8845-4945-9796-88D515C7AA90}">
      <x14:pivotCaches>
        <pivotCache cacheId="10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Data_416224bc-77c9-4c04-bfc5-e83d590ed6de" name="Hospital_Data" connection="Query - Hospital_Data"/>
          <x15:modelTable id="Calender_Table_699a170c-4084-4166-84c1-c83727f04a93" name="Calender_Table" connection="Query - Calender_Table"/>
        </x15:modelTables>
        <x15:modelRelationships>
          <x15:modelRelationship fromTable="Hospital_Data" fromColumn="Patient Admission Date"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5" i="1" l="1"/>
  <c r="R14" i="1"/>
  <c r="Q15" i="1"/>
  <c r="Q14" i="1"/>
  <c r="B10" i="1"/>
  <c r="E4"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1430F-0848-434D-A256-B6BB7DF56B7C}" name="Query - Calender_Table" description="Connection to the 'Calender_Table' query in the workbook." type="100" refreshedVersion="6" minRefreshableVersion="5">
    <extLst>
      <ext xmlns:x15="http://schemas.microsoft.com/office/spreadsheetml/2010/11/main" uri="{DE250136-89BD-433C-8126-D09CA5730AF9}">
        <x15:connection id="362c9f41-1a1a-4806-9729-9aa44e2280c1"/>
      </ext>
    </extLst>
  </connection>
  <connection id="2" xr16:uid="{1765DBBD-A06A-40DB-BD1B-B401BBA141AE}" name="Query - Hospital_Data" description="Connection to the 'Hospital_Data' query in the workbook." type="100" refreshedVersion="6" minRefreshableVersion="5">
    <extLst>
      <ext xmlns:x15="http://schemas.microsoft.com/office/spreadsheetml/2010/11/main" uri="{DE250136-89BD-433C-8126-D09CA5730AF9}">
        <x15:connection id="a4b34cd7-acce-4445-a7c3-b6b1d4be8e6c"/>
      </ext>
    </extLst>
  </connection>
  <connection id="3" xr16:uid="{4ECE098F-42B5-493F-9F78-527F85AF225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<sst xmlns="http://schemas.openxmlformats.org/spreadsheetml/2006/main" count="1520" uniqueCount="403">
  <si>
    <t>Row Labels</t>
  </si>
  <si>
    <t>Grand Total</t>
  </si>
  <si>
    <t>Count of Patient Id</t>
  </si>
  <si>
    <t>Distinct Count of Patient Id</t>
  </si>
  <si>
    <t>Number Of Patients</t>
  </si>
  <si>
    <t>Average of Patient Waittime</t>
  </si>
  <si>
    <t>Average of Patient Satisfaction Score</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</si>
  <si>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</si>
  <si>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</si>
  <si>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</si>
  <si>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</si>
  <si>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</si>
  <si>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</si>
  <si>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</si>
  <si>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</si>
  <si>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</si>
  <si>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</si>
  <si>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</si>
  <si>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</si>
  <si>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</si>
  <si>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</si>
  <si>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</si>
  <si>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</si>
  <si>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</si>
  <si>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</si>
  <si>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</si>
  <si>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</si>
  <si>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</si>
  <si>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</si>
  <si>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</si>
  <si>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</si>
  <si>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</si>
  <si>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</si>
  <si>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</si>
  <si>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</si>
  <si>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</si>
  <si>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</si>
  <si>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</si>
  <si>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</si>
  <si>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</si>
  <si>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</si>
  <si>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</si>
  <si>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</si>
  <si>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</si>
  <si>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</si>
  <si>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</si>
  <si>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</si>
  <si>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</si>
  <si>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</si>
  <si>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</si>
  <si>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</si>
  <si>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</si>
  <si>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</si>
  <si>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</si>
  <si>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</si>
  <si>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</si>
  <si>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</si>
  <si>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</si>
  <si>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</si>
  <si>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</si>
  <si>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</si>
  <si>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</si>
  <si>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</si>
  <si>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</si>
  <si>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</si>
  <si>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</si>
  <si>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</si>
  <si>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</si>
  <si>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</si>
  <si>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</si>
  <si>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</si>
  <si>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</si>
  <si>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</si>
  <si>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</si>
  <si>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</si>
  <si>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</si>
  <si>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</si>
  <si>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</si>
  <si>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</si>
  <si>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</si>
  <si>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</si>
  <si>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</si>
  <si>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</si>
  <si>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</si>
  <si>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</si>
  <si>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</si>
  <si>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</si>
  <si>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</si>
  <si>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</si>
  <si>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</si>
  <si>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</si>
  <si>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</si>
  <si>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</si>
  <si>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</si>
  <si>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</si>
  <si>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</si>
  <si>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</si>
  <si>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</si>
  <si>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Admitted</t>
  </si>
  <si>
    <t>Not Admitted</t>
  </si>
  <si>
    <t>Count of Patient Admission Flag</t>
  </si>
  <si>
    <t>Count of Patient Admission Flag2</t>
  </si>
  <si>
    <t>Admission Status</t>
  </si>
  <si>
    <t>Patients</t>
  </si>
  <si>
    <t>% Of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</si>
  <si>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</si>
  <si>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</si>
  <si>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</si>
  <si>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</si>
  <si>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</si>
  <si>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</si>
  <si>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</si>
  <si>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</si>
  <si>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</si>
  <si>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</si>
  <si>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</si>
  <si>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</si>
  <si>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</si>
  <si>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</si>
  <si>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</si>
  <si>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</si>
  <si>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</si>
  <si>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</si>
  <si>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</si>
  <si>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</si>
  <si>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</si>
  <si>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</si>
  <si>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</si>
  <si>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</si>
  <si>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</si>
  <si>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</si>
  <si>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</si>
  <si>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</si>
  <si>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</si>
  <si>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</si>
  <si>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</si>
  <si>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</si>
  <si>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</si>
  <si>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</si>
  <si>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</si>
  <si>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</si>
  <si>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</si>
  <si>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</si>
  <si>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</si>
  <si>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</si>
  <si>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</si>
  <si>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</si>
  <si>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</si>
  <si>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</si>
  <si>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</si>
  <si>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</si>
  <si>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</si>
  <si>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</si>
  <si>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</si>
  <si>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</si>
  <si>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</si>
  <si>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</si>
  <si>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</si>
  <si>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</si>
  <si>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</si>
  <si>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</si>
  <si>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</si>
  <si>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</si>
  <si>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</si>
  <si>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</si>
  <si>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</si>
  <si>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</si>
  <si>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</si>
  <si>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</si>
  <si>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</si>
  <si>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</si>
  <si>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</si>
  <si>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</si>
  <si>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</si>
  <si>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</si>
  <si>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</si>
  <si>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</si>
  <si>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</si>
  <si>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</si>
  <si>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</si>
  <si>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</si>
  <si>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</si>
  <si>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</si>
  <si>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</si>
  <si>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</si>
  <si>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</si>
  <si>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</si>
  <si>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</si>
  <si>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</si>
  <si>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</si>
  <si>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</si>
  <si>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</si>
  <si>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</si>
  <si>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</si>
  <si>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</si>
  <si>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</si>
  <si>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</si>
  <si>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</si>
  <si>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</si>
  <si>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</si>
  <si>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</si>
  <si>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</si>
  <si>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</si>
  <si>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</si>
  <si>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</si>
  <si>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</si>
  <si>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</si>
  <si>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</si>
  <si>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</si>
  <si>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</si>
  <si>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</si>
  <si>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</si>
  <si>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</si>
  <si>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</si>
  <si>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</si>
  <si>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</si>
  <si>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</si>
  <si>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</si>
  <si>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</si>
  <si>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</si>
  <si>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</si>
  <si>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</si>
  <si>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</si>
  <si>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</si>
  <si>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</si>
  <si>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</si>
  <si>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</si>
  <si>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0-10</t>
  </si>
  <si>
    <t>10-20</t>
  </si>
  <si>
    <t>20-30</t>
  </si>
  <si>
    <t>30-40</t>
  </si>
  <si>
    <t>40-50</t>
  </si>
  <si>
    <t>50-60</t>
  </si>
  <si>
    <t>60-70</t>
  </si>
  <si>
    <t>70+</t>
  </si>
  <si>
    <t>Count of Age_Group</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</si>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</sst>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name val="Calibri"/>
      <family val="2"/>
      <scheme val="minor"/>
    </font>
    <font>
      <sz val="11"/>
      <color theme="1"/>
      <name val="Baskerville Old Face"/>
      <family val="1"/>
    </font>
  </fonts>
  <fills count="6">
    <fill>
      <patternFill patternType="none"/>
    </fill>
    <fill>
      <patternFill patternType="gray125"/>
    </fill>
    <fill>
      <patternFill patternType="solid">
        <fgColor theme="8" tint="-0.49998474074526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0" fontId="0" fillId="0" borderId="0" xfId="0" applyNumberFormat="1"/>
    <xf numFmtId="0" fontId="1" fillId="3" borderId="0" xfId="0" applyFont="1" applyFill="1" applyAlignment="1">
      <alignment horizontal="center"/>
    </xf>
    <xf numFmtId="0" fontId="2" fillId="4" borderId="0" xfId="0" applyFont="1" applyFill="1" applyBorder="1" applyAlignment="1">
      <alignment horizontal="center"/>
    </xf>
    <xf numFmtId="0" fontId="2" fillId="4" borderId="0" xfId="0" applyFont="1" applyFill="1" applyBorder="1"/>
    <xf numFmtId="0" fontId="2" fillId="0" borderId="0" xfId="0" applyFont="1" applyBorder="1" applyAlignment="1">
      <alignment horizontal="center"/>
    </xf>
    <xf numFmtId="10" fontId="2" fillId="0" borderId="0" xfId="0" applyNumberFormat="1" applyFont="1" applyBorder="1" applyAlignment="1">
      <alignment horizontal="center"/>
    </xf>
    <xf numFmtId="0" fontId="2" fillId="0" borderId="0" xfId="0" applyFont="1" applyBorder="1"/>
    <xf numFmtId="0" fontId="2" fillId="0" borderId="0" xfId="0" applyFont="1"/>
    <xf numFmtId="0" fontId="0" fillId="3" borderId="0" xfId="0" applyFill="1"/>
    <xf numFmtId="0" fontId="0" fillId="5" borderId="0" xfId="0" applyFill="1"/>
  </cellXfs>
  <cellStyles count="1">
    <cellStyle name="Normal" xfId="0" builtinId="0"/>
  </cellStyles>
  <dxfs count="18">
    <dxf>
      <numFmt numFmtId="2" formatCode="0.00"/>
    </dxf>
    <dxf>
      <numFmt numFmtId="2" formatCode="0.00"/>
    </dxf>
    <dxf>
      <numFmt numFmtId="2" formatCode="0.00"/>
    </dxf>
    <dxf>
      <numFmt numFmtId="2" formatCode="0.00"/>
    </dxf>
    <dxf>
      <font>
        <b/>
        <color theme="1"/>
      </font>
      <border>
        <bottom style="thin">
          <color theme="4"/>
        </bottom>
        <vertical/>
        <horizontal/>
      </border>
    </dxf>
    <dxf>
      <font>
        <b/>
        <i val="0"/>
        <sz val="18"/>
        <color theme="1"/>
        <name val="Baskerville Old Face"/>
        <family val="1"/>
        <scheme val="none"/>
      </font>
      <fill>
        <patternFill>
          <bgColor theme="4" tint="0.79998168889431442"/>
        </patternFill>
      </fill>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_Style" pivot="0" table="0" count="10" xr9:uid="{21E31359-77E9-4851-AB35-705BDC9916F9}">
      <tableStyleElement type="wholeTable" dxfId="5"/>
      <tableStyleElement type="headerRow" dxfId="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8DC88E9-029B-4F1D-B989-61FB6DCC9B14}" type="CELLRANGE">
                  <a:rPr lang="en-US"/>
                  <a:pPr>
                    <a:defRPr sz="900" b="0" i="0" u="none" strike="noStrike" kern="1200" baseline="0">
                      <a:solidFill>
                        <a:schemeClr val="tx1"/>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94CE0BC5-D5C6-4493-A61A-69F597238EA9}" type="CELLRANGE">
                  <a:rPr lang="en-US"/>
                  <a:pPr>
                    <a:defRPr sz="900" b="0" i="0" u="none" strike="noStrike" kern="1200" baseline="0">
                      <a:solidFill>
                        <a:schemeClr val="tx1"/>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C6CE6529-2784-4128-8E28-AA50C00D504E}" type="CELLRANGE">
                  <a:rPr lang="en-US"/>
                  <a:pPr>
                    <a:defRPr sz="900" b="0" i="0" u="none" strike="noStrike" kern="1200" baseline="0">
                      <a:solidFill>
                        <a:schemeClr val="tx1"/>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D80A27D6-22DB-47F0-AF54-131EF0D632AE}" type="CELLRANGE">
                  <a:rPr lang="en-US"/>
                  <a:pPr>
                    <a:defRPr sz="900" b="0" i="0" u="none" strike="noStrike" kern="1200" baseline="0">
                      <a:solidFill>
                        <a:schemeClr val="tx1"/>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6"/>
        <c:dLbl>
          <c:idx val="0"/>
          <c:tx>
            <c:rich>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fld id="{3BC2B09B-2ADB-4731-82D2-DEE7E7449D66}" type="CELLRANGE">
                  <a:rPr lang="en-US"/>
                  <a:pPr>
                    <a:defRPr sz="900" b="1" i="0" u="none" strike="noStrike" kern="1200" baseline="0">
                      <a:solidFill>
                        <a:schemeClr val="tx1"/>
                      </a:solidFill>
                      <a:latin typeface="+mn-lt"/>
                      <a:ea typeface="+mn-ea"/>
                      <a:cs typeface="+mn-cs"/>
                    </a:defRPr>
                  </a:pPr>
                  <a:t>[CELLRANGE]</a:t>
                </a:fld>
                <a:endParaRPr lang="en-US"/>
              </a:p>
            </c:rich>
          </c:tx>
          <c:numFmt formatCode="#,##0.00"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7"/>
        <c:dLbl>
          <c:idx val="0"/>
          <c:tx>
            <c:rich>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fld id="{BB45716D-5128-4990-9702-51EB046E89DA}" type="CELLRANGE">
                  <a:rPr lang="en-US"/>
                  <a:pPr>
                    <a:defRPr sz="900" b="1" i="0" u="none" strike="noStrike" kern="1200" baseline="0">
                      <a:solidFill>
                        <a:schemeClr val="tx1"/>
                      </a:solidFill>
                      <a:latin typeface="+mn-lt"/>
                      <a:ea typeface="+mn-ea"/>
                      <a:cs typeface="+mn-cs"/>
                    </a:defRPr>
                  </a:pPr>
                  <a:t>[CELLRANGE]</a:t>
                </a:fld>
                <a:endParaRPr lang="en-US"/>
              </a:p>
            </c:rich>
          </c:tx>
          <c:numFmt formatCode="#,##0.00"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6.2383700393905957E-2"/>
          <c:y val="0"/>
          <c:w val="0.93761629960609405"/>
          <c:h val="0.77665010328134088"/>
        </c:manualLayout>
      </c:layout>
      <c:barChart>
        <c:barDir val="bar"/>
        <c:grouping val="clustered"/>
        <c:varyColors val="0"/>
        <c:ser>
          <c:idx val="0"/>
          <c:order val="0"/>
          <c:tx>
            <c:strRef>
              <c:f>Pivot_Report!$Q$4</c:f>
              <c:strCache>
                <c:ptCount val="1"/>
                <c:pt idx="0">
                  <c:v>Count of Patient Admission Flag</c:v>
                </c:pt>
              </c:strCache>
            </c:strRef>
          </c:tx>
          <c:spPr>
            <a:solidFill>
              <a:schemeClr val="accent1"/>
            </a:solidFill>
            <a:ln>
              <a:noFill/>
            </a:ln>
            <a:effectLst/>
          </c:spPr>
          <c:invertIfNegative val="0"/>
          <c:dLbls>
            <c:dLbl>
              <c:idx val="0"/>
              <c:tx>
                <c:rich>
                  <a:bodyPr/>
                  <a:lstStyle/>
                  <a:p>
                    <a:fld id="{3BC2B09B-2ADB-4731-82D2-DEE7E7449D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987-4588-A46D-AEFCAE58EBD1}"/>
                </c:ext>
              </c:extLst>
            </c:dLbl>
            <c:dLbl>
              <c:idx val="1"/>
              <c:tx>
                <c:rich>
                  <a:bodyPr/>
                  <a:lstStyle/>
                  <a:p>
                    <a:fld id="{BB45716D-5128-4990-9702-51EB046E89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987-4588-A46D-AEFCAE58EBD1}"/>
                </c:ext>
              </c:extLst>
            </c:dLbl>
            <c:numFmt formatCode="#,##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Pivot_Report!$P$5:$P$7</c:f>
              <c:strCache>
                <c:ptCount val="2"/>
                <c:pt idx="0">
                  <c:v>Admitted</c:v>
                </c:pt>
                <c:pt idx="1">
                  <c:v>Not Admitted</c:v>
                </c:pt>
              </c:strCache>
            </c:strRef>
          </c:cat>
          <c:val>
            <c:numRef>
              <c:f>Pivot_Report!$Q$5:$Q$7</c:f>
              <c:numCache>
                <c:formatCode>General</c:formatCode>
                <c:ptCount val="2"/>
                <c:pt idx="0">
                  <c:v>4612</c:v>
                </c:pt>
                <c:pt idx="1">
                  <c:v>4604</c:v>
                </c:pt>
              </c:numCache>
            </c:numRef>
          </c:val>
          <c:extLst>
            <c:ext xmlns:c15="http://schemas.microsoft.com/office/drawing/2012/chart" uri="{02D57815-91ED-43cb-92C2-25804820EDAC}">
              <c15:datalabelsRange>
                <c15:f>Pivot_Report!$R$5:$R$6</c15:f>
                <c15:dlblRangeCache>
                  <c:ptCount val="2"/>
                  <c:pt idx="0">
                    <c:v>50.04%</c:v>
                  </c:pt>
                  <c:pt idx="1">
                    <c:v>49.96%</c:v>
                  </c:pt>
                </c15:dlblRangeCache>
              </c15:datalabelsRange>
            </c:ext>
            <c:ext xmlns:c16="http://schemas.microsoft.com/office/drawing/2014/chart" uri="{C3380CC4-5D6E-409C-BE32-E72D297353CC}">
              <c16:uniqueId val="{00000008-A987-4588-A46D-AEFCAE58EBD1}"/>
            </c:ext>
          </c:extLst>
        </c:ser>
        <c:ser>
          <c:idx val="1"/>
          <c:order val="1"/>
          <c:tx>
            <c:strRef>
              <c:f>Pivot_Report!$R$4</c:f>
              <c:strCache>
                <c:ptCount val="1"/>
                <c:pt idx="0">
                  <c:v>Count of Patient Admission Flag2</c:v>
                </c:pt>
              </c:strCache>
            </c:strRef>
          </c:tx>
          <c:spPr>
            <a:solidFill>
              <a:schemeClr val="accent2"/>
            </a:solidFill>
            <a:ln>
              <a:noFill/>
            </a:ln>
            <a:effectLst/>
          </c:spPr>
          <c:invertIfNegative val="0"/>
          <c:dLbls>
            <c:delete val="1"/>
          </c:dLbls>
          <c:cat>
            <c:strRef>
              <c:f>Pivot_Report!$P$5:$P$7</c:f>
              <c:strCache>
                <c:ptCount val="2"/>
                <c:pt idx="0">
                  <c:v>Admitted</c:v>
                </c:pt>
                <c:pt idx="1">
                  <c:v>Not Admitted</c:v>
                </c:pt>
              </c:strCache>
            </c:strRef>
          </c:cat>
          <c:val>
            <c:numRef>
              <c:f>Pivot_Report!$R$5:$R$7</c:f>
              <c:numCache>
                <c:formatCode>0.00%</c:formatCode>
                <c:ptCount val="2"/>
                <c:pt idx="0">
                  <c:v>0.50043402777777779</c:v>
                </c:pt>
                <c:pt idx="1">
                  <c:v>0.49956597222222221</c:v>
                </c:pt>
              </c:numCache>
            </c:numRef>
          </c:val>
          <c:extLst>
            <c:ext xmlns:c16="http://schemas.microsoft.com/office/drawing/2014/chart" uri="{C3380CC4-5D6E-409C-BE32-E72D297353CC}">
              <c16:uniqueId val="{00000009-A987-4588-A46D-AEFCAE58EBD1}"/>
            </c:ext>
          </c:extLst>
        </c:ser>
        <c:dLbls>
          <c:dLblPos val="outEnd"/>
          <c:showLegendKey val="0"/>
          <c:showVal val="1"/>
          <c:showCatName val="0"/>
          <c:showSerName val="0"/>
          <c:showPercent val="0"/>
          <c:showBubbleSize val="0"/>
        </c:dLbls>
        <c:gapWidth val="182"/>
        <c:axId val="1972110975"/>
        <c:axId val="1010049935"/>
      </c:barChart>
      <c:catAx>
        <c:axId val="1972110975"/>
        <c:scaling>
          <c:orientation val="minMax"/>
        </c:scaling>
        <c:delete val="1"/>
        <c:axPos val="l"/>
        <c:numFmt formatCode="General" sourceLinked="1"/>
        <c:majorTickMark val="none"/>
        <c:minorTickMark val="none"/>
        <c:tickLblPos val="nextTo"/>
        <c:crossAx val="1010049935"/>
        <c:crosses val="autoZero"/>
        <c:auto val="1"/>
        <c:lblAlgn val="ctr"/>
        <c:lblOffset val="100"/>
        <c:noMultiLvlLbl val="0"/>
      </c:catAx>
      <c:valAx>
        <c:axId val="1010049935"/>
        <c:scaling>
          <c:orientation val="minMax"/>
        </c:scaling>
        <c:delete val="1"/>
        <c:axPos val="b"/>
        <c:numFmt formatCode="General" sourceLinked="1"/>
        <c:majorTickMark val="none"/>
        <c:minorTickMark val="none"/>
        <c:tickLblPos val="nextTo"/>
        <c:crossAx val="197211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[Dashboard_Project_Full.xlsx]Pivot_Report!PivotTable5</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
        <c:idx val="3"/>
        <c:spPr>
          <a:solidFill>
            <a:schemeClr val="accent1"/>
          </a:solidFill>
          <a:ln w="25400">
            <a:noFill/>
          </a:ln>
          <a:effectLst/>
        </c:spPr>
        <c:marker>
          <c:symbol val="none"/>
        </c:marker>
      </c:pivotFmt>
    </c:pivotFmts>
    <c:plotArea>
      <c:layout/>
      <c:areaChart>
        <c:grouping val="standard"/>
        <c:varyColors val="0"/>
        <c:ser>
          <c:idx val="0"/>
          <c:order val="0"/>
          <c:tx>
            <c:strRef>
              <c:f>Pivot_Report!$H$3</c:f>
              <c:strCache>
                <c:ptCount val="1"/>
                <c:pt idx="0">
                  <c:v>Total</c:v>
                </c:pt>
              </c:strCache>
            </c:strRef>
          </c:tx>
          <c:spPr>
            <a:solidFill>
              <a:schemeClr val="accent1"/>
            </a:solidFill>
            <a:ln w="25400">
              <a:noFill/>
            </a:ln>
            <a:effectLst/>
          </c:spPr>
          <c:cat>
            <c:strRef>
              <c:f>Pivot_Report!$G$4:$G$370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Pivot_Report!$H$4:$H$370</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2-B33B-4F3E-AB0C-D7860FEB4B13}"/>
            </c:ext>
          </c:extLst>
        </c:ser>
        <c:dLbls>
          <c:showLegendKey val="0"/>
          <c:showVal val="0"/>
          <c:showCatName val="0"/>
          <c:showSerName val="0"/>
          <c:showPercent val="0"/>
          <c:showBubbleSize val="0"/>
        </c:dLbls>
        <c:axId val="1120507967"/>
        <c:axId val="1046305391"/>
      </c:areaChart>
      <c:catAx>
        <c:axId val="1120507967"/>
        <c:scaling>
          <c:orientation val="minMax"/>
        </c:scaling>
        <c:delete val="1"/>
        <c:axPos val="b"/>
        <c:numFmt formatCode="General" sourceLinked="1"/>
        <c:majorTickMark val="out"/>
        <c:minorTickMark val="none"/>
        <c:tickLblPos val="nextTo"/>
        <c:crossAx val="1046305391"/>
        <c:crosses val="autoZero"/>
        <c:auto val="1"/>
        <c:lblAlgn val="ctr"/>
        <c:lblOffset val="100"/>
        <c:noMultiLvlLbl val="0"/>
      </c:catAx>
      <c:valAx>
        <c:axId val="1046305391"/>
        <c:scaling>
          <c:orientation val="minMax"/>
        </c:scaling>
        <c:delete val="1"/>
        <c:axPos val="l"/>
        <c:numFmt formatCode="General" sourceLinked="1"/>
        <c:majorTickMark val="none"/>
        <c:minorTickMark val="none"/>
        <c:tickLblPos val="nextTo"/>
        <c:crossAx val="11205079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[Dashboard_Project_Full.xlsx]Pivot_Report!PivotTable6</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Pivot_Report!$K$3</c:f>
              <c:strCache>
                <c:ptCount val="1"/>
                <c:pt idx="0">
                  <c:v>Total</c:v>
                </c:pt>
              </c:strCache>
            </c:strRef>
          </c:tx>
          <c:spPr>
            <a:solidFill>
              <a:schemeClr val="accent1"/>
            </a:solidFill>
            <a:ln w="25400">
              <a:noFill/>
            </a:ln>
            <a:effectLst/>
          </c:spPr>
          <c:cat>
            <c:strRef>
              <c:f>Pivot_Report!$J$4:$J$370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Pivot_Report!$K$4:$K$370</c:f>
              <c:numCache>
                <c:formatCode>General</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2-F5C6-4AB3-8EBC-A3A3A379A4A2}"/>
            </c:ext>
          </c:extLst>
        </c:ser>
        <c:dLbls>
          <c:showLegendKey val="0"/>
          <c:showVal val="0"/>
          <c:showCatName val="0"/>
          <c:showSerName val="0"/>
          <c:showPercent val="0"/>
          <c:showBubbleSize val="0"/>
        </c:dLbls>
        <c:axId val="1120535567"/>
        <c:axId val="1008556687"/>
      </c:areaChart>
      <c:catAx>
        <c:axId val="1120535567"/>
        <c:scaling>
          <c:orientation val="minMax"/>
        </c:scaling>
        <c:delete val="1"/>
        <c:axPos val="b"/>
        <c:numFmt formatCode="General" sourceLinked="1"/>
        <c:majorTickMark val="out"/>
        <c:minorTickMark val="none"/>
        <c:tickLblPos val="nextTo"/>
        <c:crossAx val="1008556687"/>
        <c:crosses val="autoZero"/>
        <c:auto val="1"/>
        <c:lblAlgn val="ctr"/>
        <c:lblOffset val="100"/>
        <c:noMultiLvlLbl val="0"/>
      </c:catAx>
      <c:valAx>
        <c:axId val="1008556687"/>
        <c:scaling>
          <c:orientation val="minMax"/>
        </c:scaling>
        <c:delete val="1"/>
        <c:axPos val="l"/>
        <c:numFmt formatCode="General" sourceLinked="1"/>
        <c:majorTickMark val="none"/>
        <c:minorTickMark val="none"/>
        <c:tickLblPos val="nextTo"/>
        <c:crossAx val="11205355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[Dashboard_Project_Full.xlsx]Pivot_Report!PivotTable7</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5.0196063276024334E-2"/>
          <c:y val="0"/>
          <c:w val="0.90518521381195394"/>
          <c:h val="0.92643668573520455"/>
        </c:manualLayout>
      </c:layout>
      <c:areaChart>
        <c:grouping val="standard"/>
        <c:varyColors val="0"/>
        <c:ser>
          <c:idx val="0"/>
          <c:order val="0"/>
          <c:tx>
            <c:strRef>
              <c:f>Pivot_Report!$N$4</c:f>
              <c:strCache>
                <c:ptCount val="1"/>
                <c:pt idx="0">
                  <c:v>Total</c:v>
                </c:pt>
              </c:strCache>
            </c:strRef>
          </c:tx>
          <c:spPr>
            <a:solidFill>
              <a:schemeClr val="accent1"/>
            </a:solidFill>
            <a:ln w="25400">
              <a:noFill/>
            </a:ln>
            <a:effectLst/>
          </c:spPr>
          <c:cat>
            <c:strRef>
              <c:f>Pivot_Report!$M$5:$M$368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Pivot_Report!$N$5:$N$368</c:f>
              <c:numCache>
                <c:formatCode>General</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2-15C2-4B1F-89FA-1883E2EE8055}"/>
            </c:ext>
          </c:extLst>
        </c:ser>
        <c:dLbls>
          <c:showLegendKey val="0"/>
          <c:showVal val="0"/>
          <c:showCatName val="0"/>
          <c:showSerName val="0"/>
          <c:showPercent val="0"/>
          <c:showBubbleSize val="0"/>
        </c:dLbls>
        <c:axId val="818067871"/>
        <c:axId val="813781919"/>
      </c:areaChart>
      <c:catAx>
        <c:axId val="818067871"/>
        <c:scaling>
          <c:orientation val="minMax"/>
        </c:scaling>
        <c:delete val="1"/>
        <c:axPos val="b"/>
        <c:numFmt formatCode="General" sourceLinked="1"/>
        <c:majorTickMark val="out"/>
        <c:minorTickMark val="none"/>
        <c:tickLblPos val="nextTo"/>
        <c:crossAx val="813781919"/>
        <c:crosses val="autoZero"/>
        <c:auto val="1"/>
        <c:lblAlgn val="ctr"/>
        <c:lblOffset val="100"/>
        <c:noMultiLvlLbl val="0"/>
      </c:catAx>
      <c:valAx>
        <c:axId val="813781919"/>
        <c:scaling>
          <c:orientation val="minMax"/>
        </c:scaling>
        <c:delete val="1"/>
        <c:axPos val="l"/>
        <c:numFmt formatCode="General" sourceLinked="1"/>
        <c:majorTickMark val="out"/>
        <c:minorTickMark val="none"/>
        <c:tickLblPos val="nextTo"/>
        <c:crossAx val="8180678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[Dashboard_Project_Full.xlsx]Pivot_Report!PivotTable12</c:name>
    <c:fmtId val="8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Pivot_Report!$Q$19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FA-4F9B-8C6A-2C3ADC0FA6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FA-4F9B-8C6A-2C3ADC0FA611}"/>
              </c:ext>
            </c:extLst>
          </c:dPt>
          <c:dLbls>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Pivot_Report!$P$20:$P$22</c:f>
              <c:strCache>
                <c:ptCount val="2"/>
                <c:pt idx="0">
                  <c:v>Delay</c:v>
                </c:pt>
                <c:pt idx="1">
                  <c:v>On-Time</c:v>
                </c:pt>
              </c:strCache>
            </c:strRef>
          </c:cat>
          <c:val>
            <c:numRef>
              <c:f>Pivot_Report!$Q$20:$Q$22</c:f>
              <c:numCache>
                <c:formatCode>0.00%</c:formatCode>
                <c:ptCount val="2"/>
                <c:pt idx="0">
                  <c:v>0.59320746527777779</c:v>
                </c:pt>
                <c:pt idx="1">
                  <c:v>0.40679253472222221</c:v>
                </c:pt>
              </c:numCache>
            </c:numRef>
          </c:val>
          <c:extLst>
            <c:ext xmlns:c16="http://schemas.microsoft.com/office/drawing/2014/chart" uri="{C3380CC4-5D6E-409C-BE32-E72D297353CC}">
              <c16:uniqueId val="{00000004-B5FA-4F9B-8C6A-2C3ADC0FA61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[Dashboard_Project_Full.xlsx]Pivot_Report!PivotTable13</c:name>
    <c:fmtId val="8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numFmt formatCode="0%" sourceLinked="0"/>
          <c:spPr>
            <a:solidFill>
              <a:schemeClr val="bg1"/>
            </a:solidFill>
            <a:ln>
              <a:noFill/>
            </a:ln>
            <a:effectLst>
              <a:outerShdw blurRad="50800" dist="50800" dir="5400000" algn="ctr" rotWithShape="0">
                <a:srgbClr val="000000">
                  <a:alpha val="45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9.958098257649782E-2"/>
          <c:y val="0.14113253270320206"/>
          <c:w val="0.80083803484700455"/>
          <c:h val="0.74872356539966101"/>
        </c:manualLayout>
      </c:layout>
      <c:doughnutChart>
        <c:varyColors val="1"/>
        <c:ser>
          <c:idx val="0"/>
          <c:order val="0"/>
          <c:tx>
            <c:strRef>
              <c:f>Pivot_Report!$T$19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99E-45E9-B32F-14BC0EB4F4CC}"/>
              </c:ext>
            </c:extLst>
          </c:dPt>
          <c:dPt>
            <c:idx val="1"/>
            <c:bubble3D val="0"/>
            <c:spPr>
              <a:solidFill>
                <a:schemeClr val="accent2"/>
              </a:solidFill>
              <a:ln w="19050">
                <a:noFill/>
              </a:ln>
              <a:effectLst/>
            </c:spPr>
            <c:extLst>
              <c:ext xmlns:c16="http://schemas.microsoft.com/office/drawing/2014/chart" uri="{C3380CC4-5D6E-409C-BE32-E72D297353CC}">
                <c16:uniqueId val="{00000003-999E-45E9-B32F-14BC0EB4F4CC}"/>
              </c:ext>
            </c:extLst>
          </c:dPt>
          <c:dLbls>
            <c:numFmt formatCode="0%" sourceLinked="0"/>
            <c:spPr>
              <a:solidFill>
                <a:schemeClr val="bg1"/>
              </a:solidFill>
              <a:ln>
                <a:noFill/>
              </a:ln>
              <a:effectLst>
                <a:outerShdw blurRad="50800" dist="50800" dir="5400000" algn="ctr" rotWithShape="0">
                  <a:srgbClr val="000000">
                    <a:alpha val="45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Pivot_Report!$S$20:$S$22</c:f>
              <c:strCache>
                <c:ptCount val="2"/>
                <c:pt idx="0">
                  <c:v>Female</c:v>
                </c:pt>
                <c:pt idx="1">
                  <c:v>Male</c:v>
                </c:pt>
              </c:strCache>
            </c:strRef>
          </c:cat>
          <c:val>
            <c:numRef>
              <c:f>Pivot_Report!$T$20:$T$22</c:f>
              <c:numCache>
                <c:formatCode>0.00%</c:formatCode>
                <c:ptCount val="2"/>
                <c:pt idx="0">
                  <c:v>0.48687065972222221</c:v>
                </c:pt>
                <c:pt idx="1">
                  <c:v>0.51312934027777779</c:v>
                </c:pt>
              </c:numCache>
            </c:numRef>
          </c:val>
          <c:extLst>
            <c:ext xmlns:c16="http://schemas.microsoft.com/office/drawing/2014/chart" uri="{C3380CC4-5D6E-409C-BE32-E72D297353CC}">
              <c16:uniqueId val="{00000004-999E-45E9-B32F-14BC0EB4F4C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2859046375218724"/>
          <c:y val="2.7777777777777776E-2"/>
          <c:w val="0.37952153975505987"/>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[Dashboard_Project_Full.xlsx]Pivot_Report!PivotTable14</c:name>
    <c:fmtId val="8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Pivot_Report!$Q$28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Pivot_Report!$P$29:$P$37</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Pivot_Report!$Q$29:$Q$37</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722A-49B8-8273-10EC7FB579DB}"/>
            </c:ext>
          </c:extLst>
        </c:ser>
        <c:dLbls>
          <c:dLblPos val="outEnd"/>
          <c:showLegendKey val="0"/>
          <c:showVal val="1"/>
          <c:showCatName val="0"/>
          <c:showSerName val="0"/>
          <c:showPercent val="0"/>
          <c:showBubbleSize val="0"/>
        </c:dLbls>
        <c:gapWidth val="182"/>
        <c:axId val="825089024"/>
        <c:axId val="825089680"/>
      </c:barChart>
      <c:catAx>
        <c:axId val="825089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825089680"/>
        <c:crosses val="autoZero"/>
        <c:auto val="1"/>
        <c:lblAlgn val="ctr"/>
        <c:lblOffset val="100"/>
        <c:noMultiLvlLbl val="0"/>
      </c:catAx>
      <c:valAx>
        <c:axId val="825089680"/>
        <c:scaling>
          <c:orientation val="minMax"/>
        </c:scaling>
        <c:delete val="1"/>
        <c:axPos val="b"/>
        <c:numFmt formatCode="General" sourceLinked="1"/>
        <c:majorTickMark val="out"/>
        <c:minorTickMark val="none"/>
        <c:tickLblPos val="nextTo"/>
        <c:crossAx val="82508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[Dashboard_Project_Full.xlsx]Pivot_Report!PivotTable11</c:name>
    <c:fmtId val="8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Pivot_Report!$V$5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Pivot_Report!$U$6:$U$14</c:f>
              <c:strCache>
                <c:ptCount val="8"/>
                <c:pt idx="0">
                  <c:v>0-10</c:v>
                </c:pt>
                <c:pt idx="1">
                  <c:v>10-20</c:v>
                </c:pt>
                <c:pt idx="2">
                  <c:v>20-30</c:v>
                </c:pt>
                <c:pt idx="3">
                  <c:v>30-40</c:v>
                </c:pt>
                <c:pt idx="4">
                  <c:v>40-50</c:v>
                </c:pt>
                <c:pt idx="5">
                  <c:v>50-60</c:v>
                </c:pt>
                <c:pt idx="6">
                  <c:v>60-70</c:v>
                </c:pt>
                <c:pt idx="7">
                  <c:v>70+</c:v>
                </c:pt>
              </c:strCache>
            </c:strRef>
          </c:cat>
          <c:val>
            <c:numRef>
              <c:f>Pivot_Report!$V$6:$V$14</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06AB-4DE0-938F-92D401BA7FF7}"/>
            </c:ext>
          </c:extLst>
        </c:ser>
        <c:dLbls>
          <c:dLblPos val="outEnd"/>
          <c:showLegendKey val="0"/>
          <c:showVal val="1"/>
          <c:showCatName val="0"/>
          <c:showSerName val="0"/>
          <c:showPercent val="0"/>
          <c:showBubbleSize val="0"/>
        </c:dLbls>
        <c:gapWidth val="219"/>
        <c:overlap val="-27"/>
        <c:axId val="613307679"/>
        <c:axId val="1793186991"/>
      </c:barChart>
      <c:catAx>
        <c:axId val="61330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93186991"/>
        <c:crosses val="autoZero"/>
        <c:auto val="1"/>
        <c:lblAlgn val="ctr"/>
        <c:lblOffset val="100"/>
        <c:noMultiLvlLbl val="0"/>
      </c:catAx>
      <c:valAx>
        <c:axId val="1793186991"/>
        <c:scaling>
          <c:orientation val="minMax"/>
        </c:scaling>
        <c:delete val="1"/>
        <c:axPos val="l"/>
        <c:numFmt formatCode="General" sourceLinked="1"/>
        <c:majorTickMark val="out"/>
        <c:minorTickMark val="none"/>
        <c:tickLblPos val="nextTo"/>
        <c:crossAx val="61330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[Dashboard_Project_Full.xlsx]Pivot_Report!PivotTable14</c:name>
    <c:fmtId val="9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effectLst/>
              </a:rPr>
              <a:t>Department Reffral Of The Patient</a:t>
            </a:r>
            <a:endParaRPr lang="en-US" sz="1400">
              <a:effectLst/>
            </a:endParaRPr>
          </a:p>
        </c:rich>
      </c:tx>
      <c:layout>
        <c:manualLayout>
          <c:xMode val="edge"/>
          <c:yMode val="edge"/>
          <c:x val="0.26585907314043444"/>
          <c:y val="4.3389827420093251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Pivot_Report!$Q$28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Pivot_Report!$P$29:$P$37</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Pivot_Report!$Q$29:$Q$37</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FC85-46AF-89B7-F82AE948BF91}"/>
            </c:ext>
          </c:extLst>
        </c:ser>
        <c:dLbls>
          <c:dLblPos val="outEnd"/>
          <c:showLegendKey val="0"/>
          <c:showVal val="1"/>
          <c:showCatName val="0"/>
          <c:showSerName val="0"/>
          <c:showPercent val="0"/>
          <c:showBubbleSize val="0"/>
        </c:dLbls>
        <c:gapWidth val="182"/>
        <c:axId val="825089024"/>
        <c:axId val="825089680"/>
      </c:barChart>
      <c:catAx>
        <c:axId val="825089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825089680"/>
        <c:crosses val="autoZero"/>
        <c:auto val="1"/>
        <c:lblAlgn val="ctr"/>
        <c:lblOffset val="100"/>
        <c:noMultiLvlLbl val="0"/>
      </c:catAx>
      <c:valAx>
        <c:axId val="825089680"/>
        <c:scaling>
          <c:orientation val="minMax"/>
        </c:scaling>
        <c:delete val="1"/>
        <c:axPos val="b"/>
        <c:numFmt formatCode="General" sourceLinked="1"/>
        <c:majorTickMark val="out"/>
        <c:minorTickMark val="none"/>
        <c:tickLblPos val="nextTo"/>
        <c:crossAx val="82508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[Dashboard_Project_Full.xlsx]Pivot_Report!PivotTable7</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Patient Satisfaction Score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pivotFmt>
    </c:pivotFmts>
    <c:plotArea>
      <c:layout/>
      <c:areaChart>
        <c:grouping val="standard"/>
        <c:varyColors val="0"/>
        <c:ser>
          <c:idx val="0"/>
          <c:order val="0"/>
          <c:tx>
            <c:strRef>
              <c:f>Pivot_Report!$N$4</c:f>
              <c:strCache>
                <c:ptCount val="1"/>
                <c:pt idx="0">
                  <c:v>Total</c:v>
                </c:pt>
              </c:strCache>
            </c:strRef>
          </c:tx>
          <c:spPr>
            <a:pattFill prst="ltUpDiag">
              <a:fgClr>
                <a:schemeClr val="accent1"/>
              </a:fgClr>
              <a:bgClr>
                <a:schemeClr val="accent1">
                  <a:lumMod val="20000"/>
                  <a:lumOff val="80000"/>
                </a:schemeClr>
              </a:bgClr>
            </a:pattFill>
            <a:ln w="25400">
              <a:noFill/>
            </a:ln>
            <a:effectLst>
              <a:innerShdw blurRad="114300">
                <a:schemeClr val="accent1"/>
              </a:innerShdw>
            </a:effectLst>
          </c:spPr>
          <c:cat>
            <c:strRef>
              <c:f>Pivot_Report!$M$5:$M$368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Pivot_Report!$N$5:$N$368</c:f>
              <c:numCache>
                <c:formatCode>General</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2-E8F7-4504-97B8-C8469ECB1C11}"/>
            </c:ext>
          </c:extLst>
        </c:ser>
        <c:dLbls>
          <c:showLegendKey val="0"/>
          <c:showVal val="0"/>
          <c:showCatName val="0"/>
          <c:showSerName val="0"/>
          <c:showPercent val="0"/>
          <c:showBubbleSize val="0"/>
        </c:dLbls>
        <c:axId val="818067871"/>
        <c:axId val="813781919"/>
      </c:areaChart>
      <c:catAx>
        <c:axId val="818067871"/>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813781919"/>
        <c:crosses val="autoZero"/>
        <c:auto val="1"/>
        <c:lblAlgn val="ctr"/>
        <c:lblOffset val="100"/>
        <c:noMultiLvlLbl val="0"/>
      </c:catAx>
      <c:valAx>
        <c:axId val="813781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67871"/>
        <c:crosses val="autoZero"/>
        <c:crossBetween val="midCat"/>
      </c:valAx>
      <c:spPr>
        <a:noFill/>
        <a:ln>
          <a:noFill/>
        </a:ln>
        <a:effectLst>
          <a:outerShdw blurRad="50800" dist="50800" dir="8220000" algn="ctr" rotWithShape="0">
            <a:srgbClr val="000000">
              <a:alpha val="43137"/>
            </a:srgb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6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patients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Pivot_Report!$H$3</c:f>
              <c:strCache>
                <c:ptCount val="1"/>
                <c:pt idx="0">
                  <c:v>Total</c:v>
                </c:pt>
              </c:strCache>
            </c:strRef>
          </c:tx>
          <c:spPr>
            <a:solidFill>
              <a:schemeClr val="accent1">
                <a:alpha val="85000"/>
              </a:schemeClr>
            </a:solidFill>
            <a:ln>
              <a:noFill/>
            </a:ln>
            <a:effectLst>
              <a:innerShdw dist="12700" dir="16200000">
                <a:schemeClr val="lt1"/>
              </a:innerShdw>
            </a:effectLst>
          </c:spPr>
          <c:dLbls>
            <c:delete val="1"/>
          </c:dLbls>
          <c:cat>
            <c:strRef>
              <c:f>Pivot_Report!$G$4:$G$370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Pivot_Report!$H$4:$H$370</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2-4389-4DAA-BC4C-3825A5B0D00D}"/>
            </c:ext>
          </c:extLst>
        </c:ser>
        <c:dLbls>
          <c:showLegendKey val="0"/>
          <c:showVal val="1"/>
          <c:showCatName val="0"/>
          <c:showSerName val="0"/>
          <c:showPercent val="0"/>
          <c:showBubbleSize val="0"/>
        </c:dLbls>
        <c:axId val="1120507967"/>
        <c:axId val="1046305391"/>
      </c:areaChart>
      <c:catAx>
        <c:axId val="11205079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6305391"/>
        <c:crosses val="autoZero"/>
        <c:auto val="1"/>
        <c:lblAlgn val="ctr"/>
        <c:lblOffset val="100"/>
        <c:noMultiLvlLbl val="0"/>
      </c:catAx>
      <c:valAx>
        <c:axId val="1046305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5079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Patient Waittime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Pivot_Report!$K$3</c:f>
              <c:strCache>
                <c:ptCount val="1"/>
                <c:pt idx="0">
                  <c:v>Total</c:v>
                </c:pt>
              </c:strCache>
            </c:strRef>
          </c:tx>
          <c:spPr>
            <a:solidFill>
              <a:schemeClr val="accent1"/>
            </a:solidFill>
            <a:ln w="25400">
              <a:noFill/>
            </a:ln>
            <a:effectLst/>
          </c:spPr>
          <c:dLbls>
            <c:delete val="1"/>
          </c:dLbls>
          <c:cat>
            <c:strRef>
              <c:f>Pivot_Report!$J$4:$J$370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Pivot_Report!$K$4:$K$370</c:f>
              <c:numCache>
                <c:formatCode>General</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2-EDD6-4645-ABB2-11ECFABF3FF2}"/>
            </c:ext>
          </c:extLst>
        </c:ser>
        <c:dLbls>
          <c:showLegendKey val="0"/>
          <c:showVal val="1"/>
          <c:showCatName val="0"/>
          <c:showSerName val="0"/>
          <c:showPercent val="0"/>
          <c:showBubbleSize val="0"/>
        </c:dLbls>
        <c:axId val="1120535567"/>
        <c:axId val="1008556687"/>
      </c:areaChart>
      <c:catAx>
        <c:axId val="112053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556687"/>
        <c:crosses val="autoZero"/>
        <c:auto val="1"/>
        <c:lblAlgn val="ctr"/>
        <c:lblOffset val="100"/>
        <c:noMultiLvlLbl val="0"/>
      </c:catAx>
      <c:valAx>
        <c:axId val="100855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355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[Dashboard_Project_Full.xlsx]Pivot_Report!PivotTable11</c:name>
    <c:fmtId val="8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Baskerville Old Face" panose="02020602080505020303" pitchFamily="18" charset="0"/>
              </a:rPr>
              <a:t>No.Of Patient By Age Group</a:t>
            </a:r>
            <a:endParaRPr lang="en-US">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Pivot_Report!$V$5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Pivot_Report!$U$6:$U$14</c:f>
              <c:strCache>
                <c:ptCount val="8"/>
                <c:pt idx="0">
                  <c:v>0-10</c:v>
                </c:pt>
                <c:pt idx="1">
                  <c:v>10-20</c:v>
                </c:pt>
                <c:pt idx="2">
                  <c:v>20-30</c:v>
                </c:pt>
                <c:pt idx="3">
                  <c:v>30-40</c:v>
                </c:pt>
                <c:pt idx="4">
                  <c:v>40-50</c:v>
                </c:pt>
                <c:pt idx="5">
                  <c:v>50-60</c:v>
                </c:pt>
                <c:pt idx="6">
                  <c:v>60-70</c:v>
                </c:pt>
                <c:pt idx="7">
                  <c:v>70+</c:v>
                </c:pt>
              </c:strCache>
            </c:strRef>
          </c:cat>
          <c:val>
            <c:numRef>
              <c:f>Pivot_Report!$V$6:$V$14</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D065-44E2-B912-705E7F180BD2}"/>
            </c:ext>
          </c:extLst>
        </c:ser>
        <c:dLbls>
          <c:dLblPos val="outEnd"/>
          <c:showLegendKey val="0"/>
          <c:showVal val="1"/>
          <c:showCatName val="0"/>
          <c:showSerName val="0"/>
          <c:showPercent val="0"/>
          <c:showBubbleSize val="0"/>
        </c:dLbls>
        <c:gapWidth val="100"/>
        <c:overlap val="-24"/>
        <c:axId val="613307679"/>
        <c:axId val="1793186991"/>
      </c:barChart>
      <c:catAx>
        <c:axId val="613307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93186991"/>
        <c:crosses val="autoZero"/>
        <c:auto val="1"/>
        <c:lblAlgn val="ctr"/>
        <c:lblOffset val="100"/>
        <c:noMultiLvlLbl val="0"/>
      </c:catAx>
      <c:valAx>
        <c:axId val="179318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61330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umber Of Patients Char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_Patient_Satisfaction_S '!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Sheet2!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1.sv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18</xdr:col>
      <xdr:colOff>0</xdr:colOff>
      <xdr:row>12</xdr:row>
      <xdr:rowOff>141034</xdr:rowOff>
    </xdr:from>
    <xdr:to>
      <xdr:col>18</xdr:col>
      <xdr:colOff>1116061</xdr:colOff>
      <xdr:row>15</xdr:row>
      <xdr:rowOff>169609</xdr:rowOff>
    </xdr:to>
    <xdr:graphicFrame macro="">
      <xdr:nvGraphicFramePr>
        <xdr:cNvPr id="11" name="Chart 10">
          <a:extLst>
            <a:ext uri="{FF2B5EF4-FFF2-40B4-BE49-F238E27FC236}">
              <a16:creationId xmlns:a16="http://schemas.microsoft.com/office/drawing/2014/main" id="{BB1DAE14-FC0C-4761-9D21-33B15E79B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455017</xdr:colOff>
      <xdr:row>1</xdr:row>
      <xdr:rowOff>44648</xdr:rowOff>
    </xdr:from>
    <xdr:to>
      <xdr:col>9</xdr:col>
      <xdr:colOff>467717</xdr:colOff>
      <xdr:row>6</xdr:row>
      <xdr:rowOff>84534</xdr:rowOff>
    </xdr:to>
    <xdr:sp macro="" textlink="">
      <xdr:nvSpPr>
        <xdr:cNvPr id="4" name="Rectangle: Rounded Corners 3">
          <a:extLst>
            <a:ext uri="{FF2B5EF4-FFF2-40B4-BE49-F238E27FC236}">
              <a16:creationId xmlns:a16="http://schemas.microsoft.com/office/drawing/2014/main" id="{6886DE8B-688A-AA6B-20A1-7D55B74BC2C0}"/>
            </a:ext>
          </a:extLst>
        </xdr:cNvPr>
        <xdr:cNvSpPr/>
      </xdr:nvSpPr>
      <xdr:spPr>
        <a:xfrm>
          <a:off x="455017" y="238125"/>
          <a:ext cx="5504458" cy="100726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r"/>
          <a:endParaRPr lang="en-US" sz="3600">
            <a:solidFill>
              <a:schemeClr val="tx1"/>
            </a:solidFill>
            <a:latin typeface="Baskerville Old Face" panose="02020602080505020303" pitchFamily="18" charset="0"/>
          </a:endParaRPr>
        </a:p>
      </xdr:txBody>
    </xdr:sp>
    <xdr:clientData/>
  </xdr:twoCellAnchor>
  <xdr:twoCellAnchor>
    <xdr:from>
      <xdr:col>10</xdr:col>
      <xdr:colOff>25400</xdr:colOff>
      <xdr:row>1</xdr:row>
      <xdr:rowOff>104179</xdr:rowOff>
    </xdr:from>
    <xdr:to>
      <xdr:col>13</xdr:col>
      <xdr:colOff>546100</xdr:colOff>
      <xdr:row>6</xdr:row>
      <xdr:rowOff>127000</xdr:rowOff>
    </xdr:to>
    <xdr:sp macro="" textlink="">
      <xdr:nvSpPr>
        <xdr:cNvPr id="5" name="Rectangle: Rounded Corners 4">
          <a:extLst>
            <a:ext uri="{FF2B5EF4-FFF2-40B4-BE49-F238E27FC236}">
              <a16:creationId xmlns:a16="http://schemas.microsoft.com/office/drawing/2014/main" id="{27709AB0-4CF5-4B08-5F9F-696FAE76A2B2}"/>
            </a:ext>
          </a:extLst>
        </xdr:cNvPr>
        <xdr:cNvSpPr/>
      </xdr:nvSpPr>
      <xdr:spPr>
        <a:xfrm>
          <a:off x="6127353" y="297656"/>
          <a:ext cx="2351286" cy="99020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114300</xdr:colOff>
      <xdr:row>1</xdr:row>
      <xdr:rowOff>108346</xdr:rowOff>
    </xdr:from>
    <xdr:to>
      <xdr:col>18</xdr:col>
      <xdr:colOff>393700</xdr:colOff>
      <xdr:row>19</xdr:row>
      <xdr:rowOff>34725</xdr:rowOff>
    </xdr:to>
    <xdr:sp macro="" textlink="">
      <xdr:nvSpPr>
        <xdr:cNvPr id="6" name="Rectangle: Rounded Corners 5">
          <a:extLst>
            <a:ext uri="{FF2B5EF4-FFF2-40B4-BE49-F238E27FC236}">
              <a16:creationId xmlns:a16="http://schemas.microsoft.com/office/drawing/2014/main" id="{36361CEB-E73B-CE6E-5817-7DDCEAD06070}"/>
            </a:ext>
          </a:extLst>
        </xdr:cNvPr>
        <xdr:cNvSpPr/>
      </xdr:nvSpPr>
      <xdr:spPr>
        <a:xfrm>
          <a:off x="8587581" y="296862"/>
          <a:ext cx="2700338" cy="331966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498078</xdr:colOff>
      <xdr:row>1</xdr:row>
      <xdr:rowOff>135334</xdr:rowOff>
    </xdr:from>
    <xdr:to>
      <xdr:col>23</xdr:col>
      <xdr:colOff>167878</xdr:colOff>
      <xdr:row>19</xdr:row>
      <xdr:rowOff>74413</xdr:rowOff>
    </xdr:to>
    <xdr:sp macro="" textlink="">
      <xdr:nvSpPr>
        <xdr:cNvPr id="7" name="Rectangle: Rounded Corners 6">
          <a:extLst>
            <a:ext uri="{FF2B5EF4-FFF2-40B4-BE49-F238E27FC236}">
              <a16:creationId xmlns:a16="http://schemas.microsoft.com/office/drawing/2014/main" id="{5E1FD6CE-1616-33EE-AEB0-B99AE892C86A}"/>
            </a:ext>
          </a:extLst>
        </xdr:cNvPr>
        <xdr:cNvSpPr/>
      </xdr:nvSpPr>
      <xdr:spPr>
        <a:xfrm>
          <a:off x="11392297" y="323850"/>
          <a:ext cx="2695972" cy="333236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114300</xdr:colOff>
      <xdr:row>20</xdr:row>
      <xdr:rowOff>102790</xdr:rowOff>
    </xdr:from>
    <xdr:to>
      <xdr:col>23</xdr:col>
      <xdr:colOff>254000</xdr:colOff>
      <xdr:row>42</xdr:row>
      <xdr:rowOff>9923</xdr:rowOff>
    </xdr:to>
    <xdr:sp macro="" textlink="">
      <xdr:nvSpPr>
        <xdr:cNvPr id="8" name="Rectangle: Rounded Corners 7">
          <a:extLst>
            <a:ext uri="{FF2B5EF4-FFF2-40B4-BE49-F238E27FC236}">
              <a16:creationId xmlns:a16="http://schemas.microsoft.com/office/drawing/2014/main" id="{FAF3B4F3-94F1-E2CF-FB1E-77DDB630AE7E}"/>
            </a:ext>
          </a:extLst>
        </xdr:cNvPr>
        <xdr:cNvSpPr/>
      </xdr:nvSpPr>
      <xdr:spPr>
        <a:xfrm>
          <a:off x="8587581" y="3873103"/>
          <a:ext cx="5586810" cy="405447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7</xdr:row>
      <xdr:rowOff>59531</xdr:rowOff>
    </xdr:from>
    <xdr:to>
      <xdr:col>3</xdr:col>
      <xdr:colOff>253008</xdr:colOff>
      <xdr:row>41</xdr:row>
      <xdr:rowOff>104180</xdr:rowOff>
    </xdr:to>
    <xdr:sp macro="" textlink="">
      <xdr:nvSpPr>
        <xdr:cNvPr id="12" name="Rectangle: Rounded Corners 11">
          <a:extLst>
            <a:ext uri="{FF2B5EF4-FFF2-40B4-BE49-F238E27FC236}">
              <a16:creationId xmlns:a16="http://schemas.microsoft.com/office/drawing/2014/main" id="{4DF56B11-5C24-5D4F-8351-12E0F657C8AF}"/>
            </a:ext>
          </a:extLst>
        </xdr:cNvPr>
        <xdr:cNvSpPr/>
      </xdr:nvSpPr>
      <xdr:spPr>
        <a:xfrm>
          <a:off x="457200" y="1413867"/>
          <a:ext cx="1626394" cy="6622852"/>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495300</xdr:colOff>
      <xdr:row>7</xdr:row>
      <xdr:rowOff>165100</xdr:rowOff>
    </xdr:from>
    <xdr:to>
      <xdr:col>13</xdr:col>
      <xdr:colOff>520700</xdr:colOff>
      <xdr:row>14</xdr:row>
      <xdr:rowOff>119062</xdr:rowOff>
    </xdr:to>
    <xdr:sp macro="" textlink="">
      <xdr:nvSpPr>
        <xdr:cNvPr id="19" name="Rectangle: Rounded Corners 18">
          <a:extLst>
            <a:ext uri="{FF2B5EF4-FFF2-40B4-BE49-F238E27FC236}">
              <a16:creationId xmlns:a16="http://schemas.microsoft.com/office/drawing/2014/main" id="{078E7088-1D38-7224-094E-42B277FB66DA}"/>
            </a:ext>
          </a:extLst>
        </xdr:cNvPr>
        <xdr:cNvSpPr/>
      </xdr:nvSpPr>
      <xdr:spPr>
        <a:xfrm>
          <a:off x="6597253" y="1519436"/>
          <a:ext cx="1855986" cy="130829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88900</xdr:colOff>
      <xdr:row>7</xdr:row>
      <xdr:rowOff>152400</xdr:rowOff>
    </xdr:from>
    <xdr:to>
      <xdr:col>10</xdr:col>
      <xdr:colOff>292100</xdr:colOff>
      <xdr:row>16</xdr:row>
      <xdr:rowOff>59531</xdr:rowOff>
    </xdr:to>
    <xdr:sp macro="" textlink="">
      <xdr:nvSpPr>
        <xdr:cNvPr id="20" name="Rectangle: Rounded Corners 19">
          <a:extLst>
            <a:ext uri="{FF2B5EF4-FFF2-40B4-BE49-F238E27FC236}">
              <a16:creationId xmlns:a16="http://schemas.microsoft.com/office/drawing/2014/main" id="{7C032C47-4C62-89AB-0BA4-DD956510B41A}"/>
            </a:ext>
          </a:extLst>
        </xdr:cNvPr>
        <xdr:cNvSpPr/>
      </xdr:nvSpPr>
      <xdr:spPr>
        <a:xfrm>
          <a:off x="4360267" y="1506736"/>
          <a:ext cx="2033786" cy="16484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297654</xdr:colOff>
      <xdr:row>7</xdr:row>
      <xdr:rowOff>182167</xdr:rowOff>
    </xdr:from>
    <xdr:to>
      <xdr:col>6</xdr:col>
      <xdr:colOff>560981</xdr:colOff>
      <xdr:row>16</xdr:row>
      <xdr:rowOff>89298</xdr:rowOff>
    </xdr:to>
    <xdr:sp macro="" textlink="">
      <xdr:nvSpPr>
        <xdr:cNvPr id="21" name="Rectangle: Rounded Corners 20">
          <a:extLst>
            <a:ext uri="{FF2B5EF4-FFF2-40B4-BE49-F238E27FC236}">
              <a16:creationId xmlns:a16="http://schemas.microsoft.com/office/drawing/2014/main" id="{FB816B6D-9725-7EE2-CD00-58C34D3631D5}"/>
            </a:ext>
          </a:extLst>
        </xdr:cNvPr>
        <xdr:cNvSpPr/>
      </xdr:nvSpPr>
      <xdr:spPr>
        <a:xfrm>
          <a:off x="2128240" y="1536503"/>
          <a:ext cx="2093913" cy="16484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344884</xdr:colOff>
      <xdr:row>17</xdr:row>
      <xdr:rowOff>34924</xdr:rowOff>
    </xdr:from>
    <xdr:to>
      <xdr:col>13</xdr:col>
      <xdr:colOff>586184</xdr:colOff>
      <xdr:row>24</xdr:row>
      <xdr:rowOff>158749</xdr:rowOff>
    </xdr:to>
    <xdr:sp macro="" textlink="">
      <xdr:nvSpPr>
        <xdr:cNvPr id="22" name="Rectangle: Rounded Corners 21">
          <a:extLst>
            <a:ext uri="{FF2B5EF4-FFF2-40B4-BE49-F238E27FC236}">
              <a16:creationId xmlns:a16="http://schemas.microsoft.com/office/drawing/2014/main" id="{A8674415-C9BF-33AF-161C-6F226EBCCA83}"/>
            </a:ext>
          </a:extLst>
        </xdr:cNvPr>
        <xdr:cNvSpPr/>
      </xdr:nvSpPr>
      <xdr:spPr>
        <a:xfrm>
          <a:off x="2160587" y="3239690"/>
          <a:ext cx="6293644" cy="144343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338336</xdr:colOff>
      <xdr:row>25</xdr:row>
      <xdr:rowOff>103383</xdr:rowOff>
    </xdr:from>
    <xdr:to>
      <xdr:col>13</xdr:col>
      <xdr:colOff>579636</xdr:colOff>
      <xdr:row>42</xdr:row>
      <xdr:rowOff>59531</xdr:rowOff>
    </xdr:to>
    <xdr:sp macro="" textlink="">
      <xdr:nvSpPr>
        <xdr:cNvPr id="23" name="Rectangle: Rounded Corners 22">
          <a:extLst>
            <a:ext uri="{FF2B5EF4-FFF2-40B4-BE49-F238E27FC236}">
              <a16:creationId xmlns:a16="http://schemas.microsoft.com/office/drawing/2014/main" id="{FDA41A16-10A5-3A7F-A2D1-D16DEAFE7784}"/>
            </a:ext>
          </a:extLst>
        </xdr:cNvPr>
        <xdr:cNvSpPr/>
      </xdr:nvSpPr>
      <xdr:spPr>
        <a:xfrm>
          <a:off x="2154039" y="4816274"/>
          <a:ext cx="6293644" cy="316091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610194</xdr:colOff>
      <xdr:row>1</xdr:row>
      <xdr:rowOff>44646</xdr:rowOff>
    </xdr:from>
    <xdr:to>
      <xdr:col>2</xdr:col>
      <xdr:colOff>253008</xdr:colOff>
      <xdr:row>6</xdr:row>
      <xdr:rowOff>14883</xdr:rowOff>
    </xdr:to>
    <xdr:pic>
      <xdr:nvPicPr>
        <xdr:cNvPr id="26" name="Picture 25">
          <a:extLst>
            <a:ext uri="{FF2B5EF4-FFF2-40B4-BE49-F238E27FC236}">
              <a16:creationId xmlns:a16="http://schemas.microsoft.com/office/drawing/2014/main" id="{5A8D5D1C-4DD3-F6E3-99F8-2742F4982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194" y="238123"/>
          <a:ext cx="863205" cy="937619"/>
        </a:xfrm>
        <a:prstGeom prst="rect">
          <a:avLst/>
        </a:prstGeom>
      </xdr:spPr>
    </xdr:pic>
    <xdr:clientData/>
  </xdr:twoCellAnchor>
  <xdr:twoCellAnchor>
    <xdr:from>
      <xdr:col>5</xdr:col>
      <xdr:colOff>44650</xdr:colOff>
      <xdr:row>11</xdr:row>
      <xdr:rowOff>0</xdr:rowOff>
    </xdr:from>
    <xdr:to>
      <xdr:col>6</xdr:col>
      <xdr:colOff>178595</xdr:colOff>
      <xdr:row>13</xdr:row>
      <xdr:rowOff>133946</xdr:rowOff>
    </xdr:to>
    <xdr:sp macro="" textlink="Pivot_Report!B4">
      <xdr:nvSpPr>
        <xdr:cNvPr id="27" name="TextBox 26">
          <a:extLst>
            <a:ext uri="{FF2B5EF4-FFF2-40B4-BE49-F238E27FC236}">
              <a16:creationId xmlns:a16="http://schemas.microsoft.com/office/drawing/2014/main" id="{A3F49E48-DA9C-493E-9285-9F5A70E38897}"/>
            </a:ext>
          </a:extLst>
        </xdr:cNvPr>
        <xdr:cNvSpPr txBox="1"/>
      </xdr:nvSpPr>
      <xdr:spPr>
        <a:xfrm>
          <a:off x="3095627" y="2128242"/>
          <a:ext cx="744140" cy="520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F89C2-082B-4038-B0C1-8692971EC786}" type="TxLink">
            <a:rPr lang="en-US" sz="2000" b="1" i="0" u="none" strike="noStrike">
              <a:solidFill>
                <a:srgbClr val="000000"/>
              </a:solidFill>
              <a:latin typeface="Baskerville Old Face" panose="02020602080505020303" pitchFamily="18" charset="0"/>
              <a:ea typeface="Calibri"/>
              <a:cs typeface="Calibri"/>
            </a:rPr>
            <a:pPr/>
            <a:t>9216</a:t>
          </a:fld>
          <a:endParaRPr lang="en-US" sz="2000" b="1">
            <a:latin typeface="Baskerville Old Face" panose="02020602080505020303" pitchFamily="18" charset="0"/>
          </a:endParaRPr>
        </a:p>
      </xdr:txBody>
    </xdr:sp>
    <xdr:clientData/>
  </xdr:twoCellAnchor>
  <xdr:twoCellAnchor>
    <xdr:from>
      <xdr:col>3</xdr:col>
      <xdr:colOff>446484</xdr:colOff>
      <xdr:row>8</xdr:row>
      <xdr:rowOff>104179</xdr:rowOff>
    </xdr:from>
    <xdr:to>
      <xdr:col>6</xdr:col>
      <xdr:colOff>491133</xdr:colOff>
      <xdr:row>10</xdr:row>
      <xdr:rowOff>119063</xdr:rowOff>
    </xdr:to>
    <xdr:sp macro="" textlink="">
      <xdr:nvSpPr>
        <xdr:cNvPr id="28" name="TextBox 27">
          <a:extLst>
            <a:ext uri="{FF2B5EF4-FFF2-40B4-BE49-F238E27FC236}">
              <a16:creationId xmlns:a16="http://schemas.microsoft.com/office/drawing/2014/main" id="{BAB5F1FD-D13E-04BD-EB54-B8DE99ED9B54}"/>
            </a:ext>
          </a:extLst>
        </xdr:cNvPr>
        <xdr:cNvSpPr txBox="1"/>
      </xdr:nvSpPr>
      <xdr:spPr>
        <a:xfrm>
          <a:off x="2277070" y="1651992"/>
          <a:ext cx="1875235" cy="401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Baskerville Old Face" panose="02020602080505020303" pitchFamily="18" charset="0"/>
            </a:rPr>
            <a:t>Number Of Patients</a:t>
          </a:r>
        </a:p>
      </xdr:txBody>
    </xdr:sp>
    <xdr:clientData/>
  </xdr:twoCellAnchor>
  <xdr:twoCellAnchor editAs="oneCell">
    <xdr:from>
      <xdr:col>3</xdr:col>
      <xdr:colOff>474873</xdr:colOff>
      <xdr:row>9</xdr:row>
      <xdr:rowOff>178594</xdr:rowOff>
    </xdr:from>
    <xdr:to>
      <xdr:col>4</xdr:col>
      <xdr:colOff>580431</xdr:colOff>
      <xdr:row>13</xdr:row>
      <xdr:rowOff>133946</xdr:rowOff>
    </xdr:to>
    <xdr:pic>
      <xdr:nvPicPr>
        <xdr:cNvPr id="30" name="Graphic 29" descr="Male profile with solid fill">
          <a:extLst>
            <a:ext uri="{FF2B5EF4-FFF2-40B4-BE49-F238E27FC236}">
              <a16:creationId xmlns:a16="http://schemas.microsoft.com/office/drawing/2014/main" id="{6F7C5AE1-17AF-9DAD-B3BE-1B616A82238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05459" y="1919883"/>
          <a:ext cx="715753" cy="729258"/>
        </a:xfrm>
        <a:prstGeom prst="rect">
          <a:avLst/>
        </a:prstGeom>
      </xdr:spPr>
    </xdr:pic>
    <xdr:clientData/>
  </xdr:twoCellAnchor>
  <xdr:twoCellAnchor>
    <xdr:from>
      <xdr:col>10</xdr:col>
      <xdr:colOff>401439</xdr:colOff>
      <xdr:row>7</xdr:row>
      <xdr:rowOff>152401</xdr:rowOff>
    </xdr:from>
    <xdr:to>
      <xdr:col>13</xdr:col>
      <xdr:colOff>604639</xdr:colOff>
      <xdr:row>16</xdr:row>
      <xdr:rowOff>89297</xdr:rowOff>
    </xdr:to>
    <xdr:sp macro="" textlink="">
      <xdr:nvSpPr>
        <xdr:cNvPr id="31" name="Rectangle: Rounded Corners 30">
          <a:extLst>
            <a:ext uri="{FF2B5EF4-FFF2-40B4-BE49-F238E27FC236}">
              <a16:creationId xmlns:a16="http://schemas.microsoft.com/office/drawing/2014/main" id="{B9ADA916-4A8C-F99C-F819-F88F626373CF}"/>
            </a:ext>
          </a:extLst>
        </xdr:cNvPr>
        <xdr:cNvSpPr/>
      </xdr:nvSpPr>
      <xdr:spPr>
        <a:xfrm>
          <a:off x="6503392" y="1506737"/>
          <a:ext cx="2033786" cy="167818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297657</xdr:colOff>
      <xdr:row>8</xdr:row>
      <xdr:rowOff>133944</xdr:rowOff>
    </xdr:from>
    <xdr:to>
      <xdr:col>10</xdr:col>
      <xdr:colOff>223243</xdr:colOff>
      <xdr:row>10</xdr:row>
      <xdr:rowOff>148828</xdr:rowOff>
    </xdr:to>
    <xdr:sp macro="" textlink="">
      <xdr:nvSpPr>
        <xdr:cNvPr id="32" name="TextBox 31">
          <a:extLst>
            <a:ext uri="{FF2B5EF4-FFF2-40B4-BE49-F238E27FC236}">
              <a16:creationId xmlns:a16="http://schemas.microsoft.com/office/drawing/2014/main" id="{7B04AF1B-A38C-D7CB-D17D-07D17A74208B}"/>
            </a:ext>
          </a:extLst>
        </xdr:cNvPr>
        <xdr:cNvSpPr txBox="1"/>
      </xdr:nvSpPr>
      <xdr:spPr>
        <a:xfrm>
          <a:off x="4569024" y="1681757"/>
          <a:ext cx="1756172" cy="401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Baskerville Old Face" panose="02020602080505020303" pitchFamily="18" charset="0"/>
            </a:rPr>
            <a:t>Average</a:t>
          </a:r>
          <a:r>
            <a:rPr lang="en-US" sz="1600" b="0" baseline="0">
              <a:latin typeface="Baskerville Old Face" panose="02020602080505020303" pitchFamily="18" charset="0"/>
            </a:rPr>
            <a:t> Waittime</a:t>
          </a:r>
          <a:endParaRPr lang="en-US" sz="1600" b="0">
            <a:latin typeface="Baskerville Old Face" panose="02020602080505020303" pitchFamily="18" charset="0"/>
          </a:endParaRPr>
        </a:p>
      </xdr:txBody>
    </xdr:sp>
    <xdr:clientData/>
  </xdr:twoCellAnchor>
  <xdr:twoCellAnchor>
    <xdr:from>
      <xdr:col>8</xdr:col>
      <xdr:colOff>416717</xdr:colOff>
      <xdr:row>10</xdr:row>
      <xdr:rowOff>148829</xdr:rowOff>
    </xdr:from>
    <xdr:to>
      <xdr:col>10</xdr:col>
      <xdr:colOff>89294</xdr:colOff>
      <xdr:row>13</xdr:row>
      <xdr:rowOff>104180</xdr:rowOff>
    </xdr:to>
    <xdr:sp macro="" textlink="Pivot_Report!E4">
      <xdr:nvSpPr>
        <xdr:cNvPr id="33" name="TextBox 32">
          <a:extLst>
            <a:ext uri="{FF2B5EF4-FFF2-40B4-BE49-F238E27FC236}">
              <a16:creationId xmlns:a16="http://schemas.microsoft.com/office/drawing/2014/main" id="{CA8973AD-571C-524E-8764-A2C11231FFB4}"/>
            </a:ext>
          </a:extLst>
        </xdr:cNvPr>
        <xdr:cNvSpPr txBox="1"/>
      </xdr:nvSpPr>
      <xdr:spPr>
        <a:xfrm>
          <a:off x="5298280" y="2083595"/>
          <a:ext cx="892967" cy="53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6C3EA5-5610-4DBC-BD23-FBAC65278245}" type="TxLink">
            <a:rPr lang="en-US" sz="2000" b="1" i="0" u="none" strike="noStrike">
              <a:solidFill>
                <a:srgbClr val="000000"/>
              </a:solidFill>
              <a:latin typeface="Baskerville Old Face" panose="02020602080505020303" pitchFamily="18" charset="0"/>
              <a:ea typeface="Calibri"/>
              <a:cs typeface="Calibri"/>
            </a:rPr>
            <a:pPr/>
            <a:t>35.26</a:t>
          </a:fld>
          <a:endParaRPr lang="en-US" sz="4000" b="1">
            <a:latin typeface="Baskerville Old Face" panose="02020602080505020303" pitchFamily="18" charset="0"/>
          </a:endParaRPr>
        </a:p>
      </xdr:txBody>
    </xdr:sp>
    <xdr:clientData/>
  </xdr:twoCellAnchor>
  <xdr:twoCellAnchor editAs="oneCell">
    <xdr:from>
      <xdr:col>7</xdr:col>
      <xdr:colOff>297656</xdr:colOff>
      <xdr:row>10</xdr:row>
      <xdr:rowOff>58040</xdr:rowOff>
    </xdr:from>
    <xdr:to>
      <xdr:col>8</xdr:col>
      <xdr:colOff>357188</xdr:colOff>
      <xdr:row>13</xdr:row>
      <xdr:rowOff>133944</xdr:rowOff>
    </xdr:to>
    <xdr:pic>
      <xdr:nvPicPr>
        <xdr:cNvPr id="35" name="Graphic 34" descr="Clock with solid fill">
          <a:extLst>
            <a:ext uri="{FF2B5EF4-FFF2-40B4-BE49-F238E27FC236}">
              <a16:creationId xmlns:a16="http://schemas.microsoft.com/office/drawing/2014/main" id="{FEAD902A-15F7-98B0-491F-7542443453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69023" y="1992806"/>
          <a:ext cx="669728" cy="656333"/>
        </a:xfrm>
        <a:prstGeom prst="rect">
          <a:avLst/>
        </a:prstGeom>
      </xdr:spPr>
    </xdr:pic>
    <xdr:clientData/>
  </xdr:twoCellAnchor>
  <xdr:twoCellAnchor>
    <xdr:from>
      <xdr:col>2</xdr:col>
      <xdr:colOff>401835</xdr:colOff>
      <xdr:row>2</xdr:row>
      <xdr:rowOff>148829</xdr:rowOff>
    </xdr:from>
    <xdr:to>
      <xdr:col>9</xdr:col>
      <xdr:colOff>406797</xdr:colOff>
      <xdr:row>4</xdr:row>
      <xdr:rowOff>178594</xdr:rowOff>
    </xdr:to>
    <xdr:sp macro="" textlink="">
      <xdr:nvSpPr>
        <xdr:cNvPr id="36" name="TextBox 35">
          <a:extLst>
            <a:ext uri="{FF2B5EF4-FFF2-40B4-BE49-F238E27FC236}">
              <a16:creationId xmlns:a16="http://schemas.microsoft.com/office/drawing/2014/main" id="{B6A06C7F-8921-86DD-03F4-DAE84435998A}"/>
            </a:ext>
          </a:extLst>
        </xdr:cNvPr>
        <xdr:cNvSpPr txBox="1"/>
      </xdr:nvSpPr>
      <xdr:spPr>
        <a:xfrm>
          <a:off x="1612304" y="525860"/>
          <a:ext cx="4241602" cy="406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dk1"/>
              </a:solidFill>
              <a:effectLst/>
              <a:latin typeface="Baskerville Old Face" panose="02020602080505020303" pitchFamily="18" charset="0"/>
              <a:ea typeface="+mn-ea"/>
              <a:cs typeface="+mn-cs"/>
            </a:rPr>
            <a:t>Hospital ER Dashboard</a:t>
          </a:r>
          <a:endParaRPr lang="en-US" sz="3200" b="1">
            <a:effectLst/>
            <a:latin typeface="Baskerville Old Face" panose="02020602080505020303" pitchFamily="18" charset="0"/>
          </a:endParaRPr>
        </a:p>
        <a:p>
          <a:pPr algn="ctr"/>
          <a:endParaRPr lang="en-US" sz="1100"/>
        </a:p>
      </xdr:txBody>
    </xdr:sp>
    <xdr:clientData/>
  </xdr:twoCellAnchor>
  <xdr:twoCellAnchor>
    <xdr:from>
      <xdr:col>10</xdr:col>
      <xdr:colOff>461367</xdr:colOff>
      <xdr:row>8</xdr:row>
      <xdr:rowOff>44648</xdr:rowOff>
    </xdr:from>
    <xdr:to>
      <xdr:col>13</xdr:col>
      <xdr:colOff>520898</xdr:colOff>
      <xdr:row>11</xdr:row>
      <xdr:rowOff>59532</xdr:rowOff>
    </xdr:to>
    <xdr:sp macro="" textlink="">
      <xdr:nvSpPr>
        <xdr:cNvPr id="37" name="TextBox 36">
          <a:extLst>
            <a:ext uri="{FF2B5EF4-FFF2-40B4-BE49-F238E27FC236}">
              <a16:creationId xmlns:a16="http://schemas.microsoft.com/office/drawing/2014/main" id="{4814C3EB-64E2-45A2-D5D7-58A44B0D2A24}"/>
            </a:ext>
          </a:extLst>
        </xdr:cNvPr>
        <xdr:cNvSpPr txBox="1"/>
      </xdr:nvSpPr>
      <xdr:spPr>
        <a:xfrm>
          <a:off x="6563320" y="1592461"/>
          <a:ext cx="1890117" cy="59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latin typeface="Baskerville Old Face" panose="02020602080505020303" pitchFamily="18" charset="0"/>
            </a:rPr>
            <a:t>Average</a:t>
          </a:r>
          <a:r>
            <a:rPr lang="en-US" sz="1600" b="0" baseline="0">
              <a:latin typeface="Baskerville Old Face" panose="02020602080505020303" pitchFamily="18" charset="0"/>
            </a:rPr>
            <a:t> Satisfaction Score</a:t>
          </a:r>
          <a:endParaRPr lang="en-US" sz="1600" b="0">
            <a:latin typeface="Baskerville Old Face" panose="02020602080505020303" pitchFamily="18" charset="0"/>
          </a:endParaRPr>
        </a:p>
      </xdr:txBody>
    </xdr:sp>
    <xdr:clientData/>
  </xdr:twoCellAnchor>
  <xdr:twoCellAnchor>
    <xdr:from>
      <xdr:col>12</xdr:col>
      <xdr:colOff>148828</xdr:colOff>
      <xdr:row>10</xdr:row>
      <xdr:rowOff>148830</xdr:rowOff>
    </xdr:from>
    <xdr:to>
      <xdr:col>13</xdr:col>
      <xdr:colOff>312539</xdr:colOff>
      <xdr:row>13</xdr:row>
      <xdr:rowOff>104181</xdr:rowOff>
    </xdr:to>
    <xdr:sp macro="" textlink="Pivot_Report!B10">
      <xdr:nvSpPr>
        <xdr:cNvPr id="38" name="TextBox 37">
          <a:extLst>
            <a:ext uri="{FF2B5EF4-FFF2-40B4-BE49-F238E27FC236}">
              <a16:creationId xmlns:a16="http://schemas.microsoft.com/office/drawing/2014/main" id="{9EC23EFE-893D-4666-0FCD-794B994BA922}"/>
            </a:ext>
          </a:extLst>
        </xdr:cNvPr>
        <xdr:cNvSpPr txBox="1"/>
      </xdr:nvSpPr>
      <xdr:spPr>
        <a:xfrm>
          <a:off x="7471172" y="2083596"/>
          <a:ext cx="773906" cy="53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A5C79D-A3F8-4871-BD09-B5541178CDFB}" type="TxLink">
            <a:rPr lang="en-US" sz="2000" b="1" i="0" u="none" strike="noStrike">
              <a:solidFill>
                <a:srgbClr val="000000"/>
              </a:solidFill>
              <a:latin typeface="Baskerville Old Face" panose="02020602080505020303" pitchFamily="18" charset="0"/>
              <a:ea typeface="Calibri"/>
              <a:cs typeface="Calibri"/>
            </a:rPr>
            <a:pPr/>
            <a:t>4.99</a:t>
          </a:fld>
          <a:endParaRPr lang="en-US" sz="2000" b="1">
            <a:latin typeface="Baskerville Old Face" panose="02020602080505020303" pitchFamily="18" charset="0"/>
          </a:endParaRPr>
        </a:p>
      </xdr:txBody>
    </xdr:sp>
    <xdr:clientData/>
  </xdr:twoCellAnchor>
  <xdr:twoCellAnchor editAs="oneCell">
    <xdr:from>
      <xdr:col>10</xdr:col>
      <xdr:colOff>506017</xdr:colOff>
      <xdr:row>10</xdr:row>
      <xdr:rowOff>59532</xdr:rowOff>
    </xdr:from>
    <xdr:to>
      <xdr:col>11</xdr:col>
      <xdr:colOff>461367</xdr:colOff>
      <xdr:row>13</xdr:row>
      <xdr:rowOff>44649</xdr:rowOff>
    </xdr:to>
    <xdr:pic>
      <xdr:nvPicPr>
        <xdr:cNvPr id="40" name="Graphic 39" descr="Checklist with solid fill">
          <a:extLst>
            <a:ext uri="{FF2B5EF4-FFF2-40B4-BE49-F238E27FC236}">
              <a16:creationId xmlns:a16="http://schemas.microsoft.com/office/drawing/2014/main" id="{7B6BED5E-82F3-3DC0-A194-A3C9BB6CDC6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07970" y="1994298"/>
          <a:ext cx="565545" cy="565546"/>
        </a:xfrm>
        <a:prstGeom prst="rect">
          <a:avLst/>
        </a:prstGeom>
      </xdr:spPr>
    </xdr:pic>
    <xdr:clientData/>
  </xdr:twoCellAnchor>
  <xdr:twoCellAnchor editAs="absolute">
    <xdr:from>
      <xdr:col>0</xdr:col>
      <xdr:colOff>533754</xdr:colOff>
      <xdr:row>8</xdr:row>
      <xdr:rowOff>14882</xdr:rowOff>
    </xdr:from>
    <xdr:to>
      <xdr:col>3</xdr:col>
      <xdr:colOff>181448</xdr:colOff>
      <xdr:row>40</xdr:row>
      <xdr:rowOff>74414</xdr:rowOff>
    </xdr:to>
    <mc:AlternateContent xmlns:mc="http://schemas.openxmlformats.org/markup-compatibility/2006" xmlns:a14="http://schemas.microsoft.com/office/drawing/2010/main">
      <mc:Choice Requires="a14">
        <xdr:graphicFrame macro="">
          <xdr:nvGraphicFramePr>
            <xdr:cNvPr id="29" name="Dates (Month)">
              <a:extLst>
                <a:ext uri="{FF2B5EF4-FFF2-40B4-BE49-F238E27FC236}">
                  <a16:creationId xmlns:a16="http://schemas.microsoft.com/office/drawing/2014/main" id="{14A0C52D-D4D9-455B-AF00-F94224B4A6AF}"/>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533754" y="1562695"/>
              <a:ext cx="1478280" cy="6087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163711</xdr:colOff>
      <xdr:row>10</xdr:row>
      <xdr:rowOff>133945</xdr:rowOff>
    </xdr:from>
    <xdr:to>
      <xdr:col>7</xdr:col>
      <xdr:colOff>89298</xdr:colOff>
      <xdr:row>17</xdr:row>
      <xdr:rowOff>44648</xdr:rowOff>
    </xdr:to>
    <xdr:graphicFrame macro="">
      <xdr:nvGraphicFramePr>
        <xdr:cNvPr id="39" name="Chart 38">
          <a:hlinkClick xmlns:r="http://schemas.openxmlformats.org/officeDocument/2006/relationships" r:id="rId8"/>
          <a:extLst>
            <a:ext uri="{FF2B5EF4-FFF2-40B4-BE49-F238E27FC236}">
              <a16:creationId xmlns:a16="http://schemas.microsoft.com/office/drawing/2014/main" id="{55330B51-A665-4E7B-AB30-CC3E30640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565547</xdr:colOff>
      <xdr:row>12</xdr:row>
      <xdr:rowOff>119062</xdr:rowOff>
    </xdr:from>
    <xdr:to>
      <xdr:col>10</xdr:col>
      <xdr:colOff>431602</xdr:colOff>
      <xdr:row>17</xdr:row>
      <xdr:rowOff>59529</xdr:rowOff>
    </xdr:to>
    <xdr:graphicFrame macro="">
      <xdr:nvGraphicFramePr>
        <xdr:cNvPr id="41" name="Chart 40">
          <a:hlinkClick xmlns:r="http://schemas.openxmlformats.org/officeDocument/2006/relationships" r:id="rId10"/>
          <a:extLst>
            <a:ext uri="{FF2B5EF4-FFF2-40B4-BE49-F238E27FC236}">
              <a16:creationId xmlns:a16="http://schemas.microsoft.com/office/drawing/2014/main" id="{C0ABCEA8-53F7-49B7-A081-52B46FF5B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297656</xdr:colOff>
      <xdr:row>12</xdr:row>
      <xdr:rowOff>59532</xdr:rowOff>
    </xdr:from>
    <xdr:to>
      <xdr:col>14</xdr:col>
      <xdr:colOff>104181</xdr:colOff>
      <xdr:row>16</xdr:row>
      <xdr:rowOff>148828</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61D9F85D-C6F4-487B-844E-76FBD39C0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99814</xdr:colOff>
      <xdr:row>2</xdr:row>
      <xdr:rowOff>104178</xdr:rowOff>
    </xdr:from>
    <xdr:to>
      <xdr:col>13</xdr:col>
      <xdr:colOff>506015</xdr:colOff>
      <xdr:row>5</xdr:row>
      <xdr:rowOff>163828</xdr:rowOff>
    </xdr:to>
    <mc:AlternateContent xmlns:mc="http://schemas.openxmlformats.org/markup-compatibility/2006" xmlns:a14="http://schemas.microsoft.com/office/drawing/2010/main">
      <mc:Choice Requires="a14">
        <xdr:graphicFrame macro="">
          <xdr:nvGraphicFramePr>
            <xdr:cNvPr id="45" name="Dates (Year)">
              <a:extLst>
                <a:ext uri="{FF2B5EF4-FFF2-40B4-BE49-F238E27FC236}">
                  <a16:creationId xmlns:a16="http://schemas.microsoft.com/office/drawing/2014/main" id="{8CE00274-EF8D-4AD9-80E6-ED299A35386F}"/>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mlns="">
        <xdr:sp macro="" textlink="">
          <xdr:nvSpPr>
            <xdr:cNvPr id="0" name=""/>
            <xdr:cNvSpPr>
              <a:spLocks noTextEdit="1"/>
            </xdr:cNvSpPr>
          </xdr:nvSpPr>
          <xdr:spPr>
            <a:xfrm>
              <a:off x="6201767" y="491131"/>
              <a:ext cx="2236787"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173832</xdr:colOff>
      <xdr:row>2</xdr:row>
      <xdr:rowOff>83541</xdr:rowOff>
    </xdr:from>
    <xdr:to>
      <xdr:col>18</xdr:col>
      <xdr:colOff>396876</xdr:colOff>
      <xdr:row>16</xdr:row>
      <xdr:rowOff>89297</xdr:rowOff>
    </xdr:to>
    <xdr:graphicFrame macro="">
      <xdr:nvGraphicFramePr>
        <xdr:cNvPr id="61" name="Chart 60">
          <a:extLst>
            <a:ext uri="{FF2B5EF4-FFF2-40B4-BE49-F238E27FC236}">
              <a16:creationId xmlns:a16="http://schemas.microsoft.com/office/drawing/2014/main" id="{E5A88F2C-BBB5-447D-B360-1BC42BAD5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277812</xdr:colOff>
      <xdr:row>16</xdr:row>
      <xdr:rowOff>79375</xdr:rowOff>
    </xdr:from>
    <xdr:to>
      <xdr:col>18</xdr:col>
      <xdr:colOff>307577</xdr:colOff>
      <xdr:row>18</xdr:row>
      <xdr:rowOff>148828</xdr:rowOff>
    </xdr:to>
    <xdr:sp macro="" textlink="">
      <xdr:nvSpPr>
        <xdr:cNvPr id="2" name="TextBox 1">
          <a:extLst>
            <a:ext uri="{FF2B5EF4-FFF2-40B4-BE49-F238E27FC236}">
              <a16:creationId xmlns:a16="http://schemas.microsoft.com/office/drawing/2014/main" id="{F6D33EBD-0451-4633-BE82-7584470289E1}"/>
            </a:ext>
          </a:extLst>
        </xdr:cNvPr>
        <xdr:cNvSpPr txBox="1"/>
      </xdr:nvSpPr>
      <xdr:spPr>
        <a:xfrm>
          <a:off x="8751093" y="3095625"/>
          <a:ext cx="2450703" cy="4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Baskerville Old Face" panose="02020602080505020303" pitchFamily="18" charset="0"/>
            </a:rPr>
            <a:t>Patient Attended</a:t>
          </a:r>
          <a:r>
            <a:rPr lang="en-IN" sz="1400" b="1" baseline="0">
              <a:latin typeface="Baskerville Old Face" panose="02020602080505020303" pitchFamily="18" charset="0"/>
            </a:rPr>
            <a:t> Within Time</a:t>
          </a:r>
          <a:endParaRPr lang="en-IN" sz="1400" b="1">
            <a:latin typeface="Baskerville Old Face" panose="02020602080505020303" pitchFamily="18" charset="0"/>
          </a:endParaRPr>
        </a:p>
      </xdr:txBody>
    </xdr:sp>
    <xdr:clientData/>
  </xdr:twoCellAnchor>
  <xdr:twoCellAnchor editAs="absolute">
    <xdr:from>
      <xdr:col>18</xdr:col>
      <xdr:colOff>575468</xdr:colOff>
      <xdr:row>2</xdr:row>
      <xdr:rowOff>130374</xdr:rowOff>
    </xdr:from>
    <xdr:to>
      <xdr:col>23</xdr:col>
      <xdr:colOff>158750</xdr:colOff>
      <xdr:row>17</xdr:row>
      <xdr:rowOff>45839</xdr:rowOff>
    </xdr:to>
    <xdr:graphicFrame macro="">
      <xdr:nvGraphicFramePr>
        <xdr:cNvPr id="62" name="Chart 61">
          <a:extLst>
            <a:ext uri="{FF2B5EF4-FFF2-40B4-BE49-F238E27FC236}">
              <a16:creationId xmlns:a16="http://schemas.microsoft.com/office/drawing/2014/main" id="{220C7D33-5FF3-402C-86A0-FFC512227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138907</xdr:colOff>
      <xdr:row>15</xdr:row>
      <xdr:rowOff>178594</xdr:rowOff>
    </xdr:from>
    <xdr:to>
      <xdr:col>23</xdr:col>
      <xdr:colOff>69453</xdr:colOff>
      <xdr:row>18</xdr:row>
      <xdr:rowOff>99218</xdr:rowOff>
    </xdr:to>
    <xdr:sp macro="" textlink="">
      <xdr:nvSpPr>
        <xdr:cNvPr id="3" name="TextBox 2">
          <a:extLst>
            <a:ext uri="{FF2B5EF4-FFF2-40B4-BE49-F238E27FC236}">
              <a16:creationId xmlns:a16="http://schemas.microsoft.com/office/drawing/2014/main" id="{0D3C5F75-F91A-46AF-B29C-A1138C32D353}"/>
            </a:ext>
          </a:extLst>
        </xdr:cNvPr>
        <xdr:cNvSpPr txBox="1"/>
      </xdr:nvSpPr>
      <xdr:spPr>
        <a:xfrm>
          <a:off x="11638360" y="3006328"/>
          <a:ext cx="2351484" cy="486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Baskerville Old Face" panose="02020602080505020303" pitchFamily="18" charset="0"/>
            </a:rPr>
            <a:t>Patient Gender Status</a:t>
          </a:r>
        </a:p>
      </xdr:txBody>
    </xdr:sp>
    <xdr:clientData/>
  </xdr:twoCellAnchor>
  <xdr:twoCellAnchor>
    <xdr:from>
      <xdr:col>14</xdr:col>
      <xdr:colOff>367109</xdr:colOff>
      <xdr:row>21</xdr:row>
      <xdr:rowOff>148829</xdr:rowOff>
    </xdr:from>
    <xdr:to>
      <xdr:col>23</xdr:col>
      <xdr:colOff>128984</xdr:colOff>
      <xdr:row>39</xdr:row>
      <xdr:rowOff>178595</xdr:rowOff>
    </xdr:to>
    <xdr:graphicFrame macro="">
      <xdr:nvGraphicFramePr>
        <xdr:cNvPr id="67" name="Chart 66">
          <a:extLst>
            <a:ext uri="{FF2B5EF4-FFF2-40B4-BE49-F238E27FC236}">
              <a16:creationId xmlns:a16="http://schemas.microsoft.com/office/drawing/2014/main" id="{2ABFA726-1B49-48B2-B0B0-216EA1C3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401835</xdr:colOff>
      <xdr:row>39</xdr:row>
      <xdr:rowOff>138907</xdr:rowOff>
    </xdr:from>
    <xdr:to>
      <xdr:col>22</xdr:col>
      <xdr:colOff>153789</xdr:colOff>
      <xdr:row>41</xdr:row>
      <xdr:rowOff>188516</xdr:rowOff>
    </xdr:to>
    <xdr:sp macro="" textlink="">
      <xdr:nvSpPr>
        <xdr:cNvPr id="9" name="TextBox 8">
          <a:extLst>
            <a:ext uri="{FF2B5EF4-FFF2-40B4-BE49-F238E27FC236}">
              <a16:creationId xmlns:a16="http://schemas.microsoft.com/office/drawing/2014/main" id="{07777D7C-94AD-438E-A3A3-4BE7CB7F27D2}"/>
            </a:ext>
          </a:extLst>
        </xdr:cNvPr>
        <xdr:cNvSpPr txBox="1"/>
      </xdr:nvSpPr>
      <xdr:spPr>
        <a:xfrm>
          <a:off x="10164960" y="7684493"/>
          <a:ext cx="3413126" cy="436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Baskerville Old Face" panose="02020602080505020303" pitchFamily="18" charset="0"/>
            </a:rPr>
            <a:t>Department Reffral Of The Patient</a:t>
          </a:r>
        </a:p>
      </xdr:txBody>
    </xdr:sp>
    <xdr:clientData/>
  </xdr:twoCellAnchor>
  <xdr:twoCellAnchor>
    <xdr:from>
      <xdr:col>4</xdr:col>
      <xdr:colOff>178593</xdr:colOff>
      <xdr:row>26</xdr:row>
      <xdr:rowOff>24009</xdr:rowOff>
    </xdr:from>
    <xdr:to>
      <xdr:col>13</xdr:col>
      <xdr:colOff>193476</xdr:colOff>
      <xdr:row>40</xdr:row>
      <xdr:rowOff>58537</xdr:rowOff>
    </xdr:to>
    <xdr:graphicFrame macro="">
      <xdr:nvGraphicFramePr>
        <xdr:cNvPr id="47" name="Chart 46">
          <a:extLst>
            <a:ext uri="{FF2B5EF4-FFF2-40B4-BE49-F238E27FC236}">
              <a16:creationId xmlns:a16="http://schemas.microsoft.com/office/drawing/2014/main" id="{2558E00C-137A-416A-8597-1FB8811D0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397868</xdr:colOff>
      <xdr:row>40</xdr:row>
      <xdr:rowOff>9126</xdr:rowOff>
    </xdr:from>
    <xdr:to>
      <xdr:col>11</xdr:col>
      <xdr:colOff>74415</xdr:colOff>
      <xdr:row>42</xdr:row>
      <xdr:rowOff>58735</xdr:rowOff>
    </xdr:to>
    <xdr:sp macro="" textlink="">
      <xdr:nvSpPr>
        <xdr:cNvPr id="48" name="TextBox 47">
          <a:extLst>
            <a:ext uri="{FF2B5EF4-FFF2-40B4-BE49-F238E27FC236}">
              <a16:creationId xmlns:a16="http://schemas.microsoft.com/office/drawing/2014/main" id="{FE3AF8CE-56D0-4BE2-B177-B6AC5CFE01C5}"/>
            </a:ext>
          </a:extLst>
        </xdr:cNvPr>
        <xdr:cNvSpPr txBox="1"/>
      </xdr:nvSpPr>
      <xdr:spPr>
        <a:xfrm>
          <a:off x="4059040" y="7748189"/>
          <a:ext cx="2727523" cy="436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Baskerville Old Face" panose="02020602080505020303" pitchFamily="18" charset="0"/>
            </a:rPr>
            <a:t>No.Of</a:t>
          </a:r>
          <a:r>
            <a:rPr lang="en-IN" sz="1600" b="1" baseline="0">
              <a:latin typeface="Baskerville Old Face" panose="02020602080505020303" pitchFamily="18" charset="0"/>
            </a:rPr>
            <a:t> Patient By Age Group</a:t>
          </a:r>
          <a:endParaRPr lang="en-IN" sz="1600" b="1">
            <a:latin typeface="Baskerville Old Face" panose="02020602080505020303"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520897</xdr:colOff>
          <xdr:row>18</xdr:row>
          <xdr:rowOff>29765</xdr:rowOff>
        </xdr:from>
        <xdr:to>
          <xdr:col>13</xdr:col>
          <xdr:colOff>416719</xdr:colOff>
          <xdr:row>23</xdr:row>
          <xdr:rowOff>163709</xdr:rowOff>
        </xdr:to>
        <xdr:pic>
          <xdr:nvPicPr>
            <xdr:cNvPr id="51" name="Picture 50">
              <a:extLst>
                <a:ext uri="{FF2B5EF4-FFF2-40B4-BE49-F238E27FC236}">
                  <a16:creationId xmlns:a16="http://schemas.microsoft.com/office/drawing/2014/main" id="{A4F2D3BB-0F85-447E-AA5E-193F7F08AC95}"/>
                </a:ext>
              </a:extLst>
            </xdr:cNvPr>
            <xdr:cNvPicPr>
              <a:picLocks noChangeAspect="1" noChangeArrowheads="1"/>
              <a:extLst>
                <a:ext uri="{84589F7E-364E-4C9E-8A38-B11213B215E9}">
                  <a14:cameraTool cellRange="Pivot_Report!$P$13:$S$15" spid="_x0000_s3145"/>
                </a:ext>
              </a:extLst>
            </xdr:cNvPicPr>
          </xdr:nvPicPr>
          <xdr:blipFill>
            <a:blip xmlns:r="http://schemas.openxmlformats.org/officeDocument/2006/relationships" r:embed="rId18"/>
            <a:srcRect/>
            <a:stretch>
              <a:fillRect/>
            </a:stretch>
          </xdr:blipFill>
          <xdr:spPr bwMode="auto">
            <a:xfrm>
              <a:off x="2351483" y="3512343"/>
              <a:ext cx="5997775" cy="110132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247650</xdr:colOff>
      <xdr:row>2</xdr:row>
      <xdr:rowOff>85725</xdr:rowOff>
    </xdr:from>
    <xdr:to>
      <xdr:col>10</xdr:col>
      <xdr:colOff>14883</xdr:colOff>
      <xdr:row>20</xdr:row>
      <xdr:rowOff>169069</xdr:rowOff>
    </xdr:to>
    <xdr:graphicFrame macro="">
      <xdr:nvGraphicFramePr>
        <xdr:cNvPr id="3" name="Chart 2">
          <a:extLst>
            <a:ext uri="{FF2B5EF4-FFF2-40B4-BE49-F238E27FC236}">
              <a16:creationId xmlns:a16="http://schemas.microsoft.com/office/drawing/2014/main" id="{5E0E3985-813E-4A03-9F63-7FDE15464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238125</xdr:colOff>
      <xdr:row>1</xdr:row>
      <xdr:rowOff>47625</xdr:rowOff>
    </xdr:from>
    <xdr:to>
      <xdr:col>0</xdr:col>
      <xdr:colOff>590550</xdr:colOff>
      <xdr:row>3</xdr:row>
      <xdr:rowOff>9525</xdr:rowOff>
    </xdr:to>
    <xdr:pic>
      <xdr:nvPicPr>
        <xdr:cNvPr id="5" name="Graphic 4" descr="Home">
          <a:hlinkClick xmlns:r="http://schemas.openxmlformats.org/officeDocument/2006/relationships" r:id="rId2"/>
          <a:extLst>
            <a:ext uri="{FF2B5EF4-FFF2-40B4-BE49-F238E27FC236}">
              <a16:creationId xmlns:a16="http://schemas.microsoft.com/office/drawing/2014/main" id="{17856885-C3F0-4AFF-90F6-083B4BA0A3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38125" y="238125"/>
          <a:ext cx="352425"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352425</xdr:colOff>
      <xdr:row>3</xdr:row>
      <xdr:rowOff>152400</xdr:rowOff>
    </xdr:from>
    <xdr:to>
      <xdr:col>11</xdr:col>
      <xdr:colOff>504825</xdr:colOff>
      <xdr:row>21</xdr:row>
      <xdr:rowOff>76200</xdr:rowOff>
    </xdr:to>
    <xdr:graphicFrame macro="">
      <xdr:nvGraphicFramePr>
        <xdr:cNvPr id="2" name="Chart 1">
          <a:extLst>
            <a:ext uri="{FF2B5EF4-FFF2-40B4-BE49-F238E27FC236}">
              <a16:creationId xmlns:a16="http://schemas.microsoft.com/office/drawing/2014/main" id="{01EF79A7-46B4-4C0C-897D-99983AFB5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409576</xdr:colOff>
      <xdr:row>2</xdr:row>
      <xdr:rowOff>152399</xdr:rowOff>
    </xdr:from>
    <xdr:to>
      <xdr:col>1</xdr:col>
      <xdr:colOff>104776</xdr:colOff>
      <xdr:row>4</xdr:row>
      <xdr:rowOff>76199</xdr:rowOff>
    </xdr:to>
    <xdr:pic>
      <xdr:nvPicPr>
        <xdr:cNvPr id="4" name="Graphic 3" descr="Home">
          <a:hlinkClick xmlns:r="http://schemas.openxmlformats.org/officeDocument/2006/relationships" r:id="rId2"/>
          <a:extLst>
            <a:ext uri="{FF2B5EF4-FFF2-40B4-BE49-F238E27FC236}">
              <a16:creationId xmlns:a16="http://schemas.microsoft.com/office/drawing/2014/main" id="{5B746953-A65A-46E3-9AEC-D710A422B4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9576" y="533399"/>
          <a:ext cx="304800" cy="30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609599</xdr:colOff>
      <xdr:row>2</xdr:row>
      <xdr:rowOff>171450</xdr:rowOff>
    </xdr:from>
    <xdr:to>
      <xdr:col>18</xdr:col>
      <xdr:colOff>85724</xdr:colOff>
      <xdr:row>23</xdr:row>
      <xdr:rowOff>95249</xdr:rowOff>
    </xdr:to>
    <xdr:graphicFrame macro="">
      <xdr:nvGraphicFramePr>
        <xdr:cNvPr id="3" name="Chart 2">
          <a:extLst>
            <a:ext uri="{FF2B5EF4-FFF2-40B4-BE49-F238E27FC236}">
              <a16:creationId xmlns:a16="http://schemas.microsoft.com/office/drawing/2014/main" id="{FE33E5E7-3A53-4471-954A-85B3D8986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457200</xdr:colOff>
      <xdr:row>3</xdr:row>
      <xdr:rowOff>161924</xdr:rowOff>
    </xdr:from>
    <xdr:to>
      <xdr:col>5</xdr:col>
      <xdr:colOff>276225</xdr:colOff>
      <xdr:row>6</xdr:row>
      <xdr:rowOff>19049</xdr:rowOff>
    </xdr:to>
    <xdr:pic>
      <xdr:nvPicPr>
        <xdr:cNvPr id="5" name="Graphic 4" descr="Home">
          <a:hlinkClick xmlns:r="http://schemas.openxmlformats.org/officeDocument/2006/relationships" r:id="rId2"/>
          <a:extLst>
            <a:ext uri="{FF2B5EF4-FFF2-40B4-BE49-F238E27FC236}">
              <a16:creationId xmlns:a16="http://schemas.microsoft.com/office/drawing/2014/main" id="{A2B45A99-ADCD-4AA5-8145-014D8C8646C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895600" y="733424"/>
          <a:ext cx="428625" cy="428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285750</xdr:colOff>
      <xdr:row>2</xdr:row>
      <xdr:rowOff>114299</xdr:rowOff>
    </xdr:from>
    <xdr:to>
      <xdr:col>11</xdr:col>
      <xdr:colOff>342900</xdr:colOff>
      <xdr:row>21</xdr:row>
      <xdr:rowOff>180974</xdr:rowOff>
    </xdr:to>
    <xdr:graphicFrame macro="">
      <xdr:nvGraphicFramePr>
        <xdr:cNvPr id="2" name="Chart 1">
          <a:extLst>
            <a:ext uri="{FF2B5EF4-FFF2-40B4-BE49-F238E27FC236}">
              <a16:creationId xmlns:a16="http://schemas.microsoft.com/office/drawing/2014/main" id="{844D3FE2-7BAB-4E01-9AE4-0298789F3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123826</xdr:colOff>
      <xdr:row>3</xdr:row>
      <xdr:rowOff>76201</xdr:rowOff>
    </xdr:from>
    <xdr:to>
      <xdr:col>1</xdr:col>
      <xdr:colOff>571500</xdr:colOff>
      <xdr:row>5</xdr:row>
      <xdr:rowOff>142875</xdr:rowOff>
    </xdr:to>
    <xdr:pic>
      <xdr:nvPicPr>
        <xdr:cNvPr id="4" name="Graphic 3" descr="Home">
          <a:hlinkClick xmlns:r="http://schemas.openxmlformats.org/officeDocument/2006/relationships" r:id="rId2"/>
          <a:extLst>
            <a:ext uri="{FF2B5EF4-FFF2-40B4-BE49-F238E27FC236}">
              <a16:creationId xmlns:a16="http://schemas.microsoft.com/office/drawing/2014/main" id="{5A54476B-415B-4753-B5CD-DBE0296961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33426" y="647701"/>
          <a:ext cx="447674" cy="4476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4</xdr:row>
      <xdr:rowOff>28574</xdr:rowOff>
    </xdr:from>
    <xdr:to>
      <xdr:col>11</xdr:col>
      <xdr:colOff>153591</xdr:colOff>
      <xdr:row>20</xdr:row>
      <xdr:rowOff>114299</xdr:rowOff>
    </xdr:to>
    <xdr:graphicFrame macro="">
      <xdr:nvGraphicFramePr>
        <xdr:cNvPr id="5" name="Chart 4">
          <a:extLst>
            <a:ext uri="{FF2B5EF4-FFF2-40B4-BE49-F238E27FC236}">
              <a16:creationId xmlns:a16="http://schemas.microsoft.com/office/drawing/2014/main" id="{B4FFF73C-8E28-4549-B9EB-60A88B3F8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38101</xdr:colOff>
      <xdr:row>2</xdr:row>
      <xdr:rowOff>47626</xdr:rowOff>
    </xdr:from>
    <xdr:to>
      <xdr:col>1</xdr:col>
      <xdr:colOff>342901</xdr:colOff>
      <xdr:row>3</xdr:row>
      <xdr:rowOff>161926</xdr:rowOff>
    </xdr:to>
    <xdr:pic>
      <xdr:nvPicPr>
        <xdr:cNvPr id="6" name="Graphic 5" descr="Home">
          <a:hlinkClick xmlns:r="http://schemas.openxmlformats.org/officeDocument/2006/relationships" r:id="rId2"/>
          <a:extLst>
            <a:ext uri="{FF2B5EF4-FFF2-40B4-BE49-F238E27FC236}">
              <a16:creationId xmlns:a16="http://schemas.microsoft.com/office/drawing/2014/main" id="{562D6AB1-58F5-4F3F-BFD7-88C85808B5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47701" y="428626"/>
          <a:ext cx="304800" cy="304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29629628" createdVersion="8" refreshedVersion="6" minRefreshableVersion="3" recordCount="0" supportSubquery="1" supportAdvancedDrill="1" xr:uid="{CC06204F-B983-4EE0-9BAD-4BFA0373D14A}">
  <cacheSource type="external" connectionId="3"/>
  <cacheFields count="3">
    <cacheField name="[Measures].[Count of Patient Id]" caption="Count of Patient Id" numFmtId="0" hierarchy="23" level="32767"/>
    <cacheField name="[Calender_Table].[Dates (Day)].[Dates (Day)]" caption="Dates (Day)" numFmtId="0" hierarchy="1"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29976851" createdVersion="5" refreshedVersion="6" minRefreshableVersion="3" recordCount="0" supportSubquery="1" supportAdvancedDrill="1" xr:uid="{8C7014A6-3518-4180-A17A-C78D15F3CE72}">
  <cacheSource type="external" connectionId="3"/>
  <cacheFields count="2">
    <cacheField name="[Measures].[Count of Patient Id]" caption="Count of Patient Id" numFmtId="0" hierarchy="23"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0324075" createdVersion="8" refreshedVersion="6" minRefreshableVersion="3" recordCount="0" supportSubquery="1" supportAdvancedDrill="1" xr:uid="{246D69B1-B037-41B9-A532-6FBC148B9423}">
  <cacheSource type="external" connectionId="3"/>
  <cacheFields count="2">
    <cacheField name="[Measures].[Average of Patient Waittime]" caption="Average of Patient Waittime" numFmtId="0" hierarchy="25"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0671298" createdVersion="8" refreshedVersion="6" minRefreshableVersion="3" recordCount="0" supportSubquery="1" supportAdvancedDrill="1" xr:uid="{C7F5E75C-C71F-43E3-97AC-60207CDEAD92}">
  <cacheSource type="external" connectionId="3"/>
  <cacheFields count="2">
    <cacheField name="[Measures].[Average of Patient Satisfaction Score]" caption="Average of Patient Satisfaction Score" numFmtId="0" hierarchy="27"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1365737" createdVersion="6" refreshedVersion="6" minRefreshableVersion="3" recordCount="0" supportSubquery="1" supportAdvancedDrill="1" xr:uid="{EDB10DA5-96A2-4C3C-A10D-65D84ABD7F54}">
  <cacheSource type="external" connectionId="3"/>
  <cacheFields count="3">
    <cacheField name="[Measures].[Count of Patient Id]" caption="Count of Patient Id" numFmtId="0" hierarchy="23" level="32767"/>
    <cacheField name="[Calender_Table].[Dates (Day)].[Dates (Day)]" caption="Dates (Day)" numFmtId="0" hierarchy="1"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2175922" createdVersion="6" refreshedVersion="6" minRefreshableVersion="3" recordCount="0" supportSubquery="1" supportAdvancedDrill="1" xr:uid="{71A738F8-0898-4B94-8C4E-B0E0A91A3A90}">
  <cacheSource type="external" connectionId="3"/>
  <cacheFields count="3">
    <cacheField name="[Calender_Table].[Dates (Day)].[Dates (Day)]" caption="Dates (Day)" numFmtId="0" hierarchy="1"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5"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2870369" createdVersion="6" refreshedVersion="6" minRefreshableVersion="3" recordCount="0" supportSubquery="1" supportAdvancedDrill="1" xr:uid="{6512CEBA-3FD1-4CF9-9A02-4278280AEA4E}">
  <cacheSource type="external" connectionId="3"/>
  <cacheFields count="3">
    <cacheField name="[Calender_Table].[Dates (Day)].[Dates (Day)]" caption="Dates (Day)" numFmtId="0" hierarchy="1"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7"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3564815" createdVersion="6" refreshedVersion="6" minRefreshableVersion="3" recordCount="0" supportSubquery="1" supportAdvancedDrill="1" xr:uid="{D90B8A0C-C929-4069-A57D-8CAC099A65B5}">
  <cacheSource type="external" connectionId="3"/>
  <cacheFields count="4">
    <cacheField name="[Hospital_Data].[Patient Admission Flag].[Patient Admission Flag]" caption="Patient Admission Flag" numFmtId="0" hierarchy="8" level="1">
      <sharedItems count="2">
        <s v="Admitted"/>
        <s v="Not Admitted"/>
      </sharedItems>
    </cacheField>
    <cacheField name="[Measures].[Count of Patient Admission Flag]" caption="Count of Patient Admission Flag" numFmtId="0" hierarchy="29" level="32767"/>
    <cacheField name="[Calender_Table].[Dates (Month)].[Dates (Month)]" caption="Dates (Month)" numFmtId="0" hierarchy="2" level="1">
      <sharedItems containsSemiMixedTypes="0" containsNonDate="0" containsString="0"/>
    </cacheField>
    <cacheField name="Dummy0" numFmtId="0" hierarchy="32" level="32767">
      <extLst>
        <ext xmlns:x14="http://schemas.microsoft.com/office/spreadsheetml/2009/9/main" uri="{63CAB8AC-B538-458d-9737-405883B0398D}">
          <x14:cacheField ignore="1"/>
        </ext>
      </extLst>
    </cacheField>
  </cacheFields>
  <cacheHierarchies count="33">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2" memberValueDatatype="130" unbalanced="0">
      <fieldsUsage count="2">
        <fieldUsage x="-1"/>
        <fieldUsage x="0"/>
      </fieldsUsage>
    </cacheHierarchy>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y uniqueName="Dummy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4143516" createdVersion="6" refreshedVersion="6" minRefreshableVersion="3" recordCount="0" supportSubquery="1" supportAdvancedDrill="1" xr:uid="{15D9314B-B719-4C3F-96F1-BCA79CDAC63C}">
  <cacheSource type="external" connectionId="3"/>
  <cacheFields count="4">
    <cacheField name="[Calender_Table].[Dates (Year)].[Dates (Year)]" caption="Dates (Year)" numFmtId="0" hierarchy="4" level="1">
      <sharedItems containsSemiMixedTypes="0" containsNonDate="0" containsString="0"/>
    </cacheField>
    <cacheField name="[Hospital_Data].[Age_Group].[Age_Group]" caption="Age_Group" numFmtId="0" hierarchy="5" level="1">
      <sharedItems count="8">
        <s v="0-10"/>
        <s v="10-20"/>
        <s v="20-30"/>
        <s v="30-40"/>
        <s v="40-50"/>
        <s v="50-60"/>
        <s v="60-70"/>
        <s v="70+"/>
      </sharedItems>
    </cacheField>
    <cacheField name="[Measures].[Count of Age_Group]" caption="Count of Age_Group" numFmtId="0" hierarchy="30"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0"/>
      </fieldsUsage>
    </cacheHierarchy>
    <cacheHierarchy uniqueName="[Hospital_Data].[Age_Group]" caption="Age_Group" attribute="1" defaultMemberUniqueName="[Hospital_Data].[Age_Group].[All]" allUniqueName="[Hospital_Data].[Age_Group].[All]" dimensionUniqueName="[Hospital_Data]" displayFolder="" count="2" memberValueDatatype="130" unbalanced="0">
      <fieldsUsage count="2">
        <fieldUsage x="-1"/>
        <fieldUsage x="1"/>
      </fieldsUsage>
    </cacheHierarchy>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4953701" createdVersion="6" refreshedVersion="6" minRefreshableVersion="3" recordCount="0" supportSubquery="1" supportAdvancedDrill="1" xr:uid="{FE3556E8-57CA-4C44-8D60-822C48AB0158}">
  <cacheSource type="external" connectionId="3"/>
  <cacheFields count="4">
    <cacheField name="[Calender_Table].[Dates (Year)].[Dates (Year)]" caption="Dates (Year)" numFmtId="0" hierarchy="4" level="1">
      <sharedItems containsSemiMixedTypes="0" containsNonDate="0" containsString="0"/>
    </cacheField>
    <cacheField name="[Hospital_Data].[Patient Attend Status].[Patient Attend Status]" caption="Patient Attend Status" numFmtId="0" hierarchy="11" level="1">
      <sharedItems count="2">
        <s v="Delay"/>
        <s v="On-Time"/>
      </sharedItems>
    </cacheField>
    <cacheField name="[Measures].[Count of Patient Attend Status]" caption="Count of Patient Attend Status" numFmtId="0" hierarchy="28"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0"/>
      </fieldsUsage>
    </cacheHierarchy>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2" memberValueDatatype="130" unbalanced="0">
      <fieldsUsage count="2">
        <fieldUsage x="-1"/>
        <fieldUsage x="1"/>
      </fieldsUsage>
    </cacheHierarchy>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5648148" createdVersion="6" refreshedVersion="6" minRefreshableVersion="3" recordCount="0" supportSubquery="1" supportAdvancedDrill="1" xr:uid="{4B410179-20BA-47F2-ABDE-84BDD6DC58E4}">
  <cacheSource type="external" connectionId="3"/>
  <cacheFields count="4">
    <cacheField name="[Calender_Table].[Dates (Year)].[Dates (Year)]" caption="Dates (Year)" numFmtId="0" hierarchy="4" level="1">
      <sharedItems containsSemiMixedTypes="0" containsNonDate="0" containsString="0"/>
    </cacheField>
    <cacheField name="[Hospital_Data].[Patient Gender].[Patient Gender]" caption="Patient Gender" numFmtId="0" hierarchy="13" level="1">
      <sharedItems count="2">
        <s v="Female"/>
        <s v="Male"/>
      </sharedItems>
    </cacheField>
    <cacheField name="[Measures].[Count of Patient Gender]" caption="Count of Patient Gender" numFmtId="0" hierarchy="31"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0"/>
      </fieldsUsage>
    </cacheHierarchy>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2" memberValueDatatype="130" unbalanced="0">
      <fieldsUsage count="2">
        <fieldUsage x="-1"/>
        <fieldUsage x="1"/>
      </fieldsUsage>
    </cacheHierarchy>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744536342594" createdVersion="6" refreshedVersion="6" minRefreshableVersion="3" recordCount="0" supportSubquery="1" supportAdvancedDrill="1" xr:uid="{DA4495B3-4515-48AE-B31C-FE649B6785AB}">
  <cacheSource type="external" connectionId="3"/>
  <cacheFields count="4">
    <cacheField name="[Calender_Table].[Dates (Year)].[Dates (Year)]" caption="Dates (Year)" numFmtId="0" hierarchy="4" level="1">
      <sharedItems containsSemiMixedTypes="0" containsNonDate="0" containsString="0"/>
    </cacheField>
    <cacheField name="[Hospital_Data].[Department Referral].[Department Referral]" caption="Department Referral" numFmtId="0" hierarchy="6"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er_Table].[Dates (Month)].[Dates (Month)]" caption="Dates (Month)" numFmtId="0" hierarchy="2" level="1">
      <sharedItems containsSemiMixedTypes="0" containsNonDate="0" containsString="0"/>
    </cacheField>
  </cacheFields>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0"/>
      </fieldsUsage>
    </cacheHierarchy>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2" memberValueDatatype="130" unbalanced="0">
      <fieldsUsage count="2">
        <fieldUsage x="-1"/>
        <fieldUsage x="1"/>
      </fieldsUsage>
    </cacheHierarchy>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_Data" uniqueName="[Hospital_Data]" caption="Hospital_Data"/>
    <dimension measure="1" name="Measures" uniqueName="[Measures]" caption="Measures"/>
  </dimensions>
  <measureGroups count="2">
    <measureGroup name="Calender_Table" caption="Calender_Table"/>
    <measureGroup name="Hospital_Data" caption="Hospital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 refreshedDate="46020.609486226851" createdVersion="3" refreshedVersion="6" minRefreshableVersion="3" recordCount="0" supportSubquery="1" supportAdvancedDrill="1" xr:uid="{695D43E7-5675-47C7-B8D5-A4636B6B7D66}">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Hospital_Data].[Age_Group]" caption="Age_Group" attribute="1" defaultMemberUniqueName="[Hospital_Data].[Age_Group].[All]" allUniqueName="[Hospital_Data].[Age_Group].[All]" dimensionUniqueName="[Hospital_Data]" displayFolder="" count="0" memberValueDatatype="130" unbalanced="0"/>
    <cacheHierarchy uniqueName="[Hospital_Data].[Department Referral]" caption="Department Referral" attribute="1" defaultMemberUniqueName="[Hospital_Data].[Department Referral].[All]" allUniqueName="[Hospital_Data].[Department Referral].[All]" dimensionUniqueName="[Hospital_Data]" displayFolder="" count="0" memberValueDatatype="130" unbalanced="0"/>
    <cacheHierarchy uniqueName="[Hospital_Data].[Patient Admission Date]" caption="Patient Admission Date" attribute="1" time="1" defaultMemberUniqueName="[Hospital_Data].[Patient Admission Date].[All]" allUniqueName="[Hospital_Data].[Patient Admission Date].[All]" dimensionUniqueName="[Hospital_Data]" displayFolder="" count="0" memberValueDatatype="7" unbalanced="0"/>
    <cacheHierarchy uniqueName="[Hospital_Data].[Patient Admission Flag]" caption="Patient Admission Flag" attribute="1" defaultMemberUniqueName="[Hospital_Data].[Patient Admission Flag].[All]" allUniqueName="[Hospital_Data].[Patient Admission Flag].[All]" dimensionUniqueName="[Hospital_Data]" displayFolder="" count="0" memberValueDatatype="130" unbalanced="0"/>
    <cacheHierarchy uniqueName="[Hospital_Data].[Patient Admission Time]" caption="Patient Admission Time" attribute="1" time="1" defaultMemberUniqueName="[Hospital_Data].[Patient Admission Time].[All]" allUniqueName="[Hospital_Data].[Patient Admission Time].[All]" dimensionUniqueName="[Hospital_Data]" displayFolder="" count="0" memberValueDatatype="7" unbalanced="0"/>
    <cacheHierarchy uniqueName="[Hospital_Data].[Patient Age]" caption="Patient Age" attribute="1" defaultMemberUniqueName="[Hospital_Data].[Patient Age].[All]" allUniqueName="[Hospital_Data].[Patient Age].[All]" dimensionUniqueName="[Hospital_Data]" displayFolder="" count="0" memberValueDatatype="20" unbalanced="0"/>
    <cacheHierarchy uniqueName="[Hospital_Data].[Patient Attend Status]" caption="Patient Attend Status" attribute="1" defaultMemberUniqueName="[Hospital_Data].[Patient Attend Status].[All]" allUniqueName="[Hospital_Data].[Patient Attend Status].[All]" dimensionUniqueName="[Hospital_Data]" displayFolder="" count="0" memberValueDatatype="130" unbalanced="0"/>
    <cacheHierarchy uniqueName="[Hospital_Data].[Patient Full_Name]" caption="Patient Full_Name" attribute="1" defaultMemberUniqueName="[Hospital_Data].[Patient Full_Name].[All]" allUniqueName="[Hospital_Data].[Patient Full_Name].[All]" dimensionUniqueName="[Hospital_Data]" displayFolder="" count="0" memberValueDatatype="130" unbalanced="0"/>
    <cacheHierarchy uniqueName="[Hospital_Data].[Patient Gender]" caption="Patient Gender" attribute="1" defaultMemberUniqueName="[Hospital_Data].[Patient Gender].[All]" allUniqueName="[Hospital_Data].[Patient Gender].[All]" dimensionUniqueName="[Hospital_Data]" displayFolder="" count="0" memberValueDatatype="130" unbalanced="0"/>
    <cacheHierarchy uniqueName="[Hospital_Data].[Patient Id]" caption="Patient Id" attribute="1" defaultMemberUniqueName="[Hospital_Data].[Patient Id].[All]" allUniqueName="[Hospital_Data].[Patient Id].[All]" dimensionUniqueName="[Hospital_Data]" displayFolder="" count="0" memberValueDatatype="130" unbalanced="0"/>
    <cacheHierarchy uniqueName="[Hospital_Data].[Patient Race]" caption="Patient Race" attribute="1" defaultMemberUniqueName="[Hospital_Data].[Patient Race].[All]" allUniqueName="[Hospital_Data].[Patient Race].[All]" dimensionUniqueName="[Hospital_Data]" displayFolder="" count="0" memberValueDatatype="130" unbalanced="0"/>
    <cacheHierarchy uniqueName="[Hospital_Data].[Patient Satisfaction Score]" caption="Patient Satisfaction Score" attribute="1" defaultMemberUniqueName="[Hospital_Data].[Patient Satisfaction Score].[All]" allUniqueName="[Hospital_Data].[Patient Satisfaction Score].[All]" dimensionUniqueName="[Hospital_Data]" displayFolder="" count="0" memberValueDatatype="20" unbalanced="0"/>
    <cacheHierarchy uniqueName="[Hospital_Data].[Patient Waittime]" caption="Patient Waittime" attribute="1" defaultMemberUniqueName="[Hospital_Data].[Patient Waittime].[All]" allUniqueName="[Hospital_Data].[Patient Waittime].[All]" dimensionUniqueName="[Hospital_Data]" displayFolder="" count="0" memberValueDatatype="2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_Data]" caption="__XL_Count Hospital_Data" measure="1" displayFolder="" measureGroup="Hospital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Data"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_Data" count="0" hidden="1">
      <extLst>
        <ext xmlns:x15="http://schemas.microsoft.com/office/spreadsheetml/2010/11/main" uri="{B97F6D7D-B522-45F9-BDA1-12C45D357490}">
          <x15:cacheHierarchy aggregatedColumn="17"/>
        </ext>
      </extLst>
    </cacheHierarchy>
    <cacheHierarchy uniqueName="[Measures].[Sum of Patient Satisfaction Score]" caption="Sum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_Data" count="0" hidden="1">
      <extLst>
        <ext xmlns:x15="http://schemas.microsoft.com/office/spreadsheetml/2010/11/main" uri="{B97F6D7D-B522-45F9-BDA1-12C45D357490}">
          <x15:cacheHierarchy aggregatedColumn="8"/>
        </ext>
      </extLst>
    </cacheHierarchy>
    <cacheHierarchy uniqueName="[Measures].[Count of Age_Group]" caption="Count of Age_Group" measure="1" displayFolder="" measureGroup="Hospital_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_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832387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5C90B-90A4-408F-89FB-467DEC5F6EF6}" name="PivotTable1" cacheId="3623" applyNumberFormats="0" applyBorderFormats="0" applyFontFormats="0" applyPatternFormats="0" applyAlignmentFormats="0" applyWidthHeightFormats="1" dataCaption="Values" tag="032d9f43-6b3b-48a3-94ff-b45880f80166" updatedVersion="6" minRefreshableVersion="3" useAutoFormatting="1"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dataField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4BBD75-DBC8-4CE2-8FA8-61EA55C135D3}" name="PivotTable3" cacheId="36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6">
      <pivotArea outline="0" collapsedLevelsAreSubtotals="1" fieldPosition="0"/>
    </format>
  </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C368B2-A692-4078-A499-FB1727B253F9}" name="PivotTable2" cacheId="36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
      <pivotArea outline="0" collapsedLevelsAreSubtotals="1" fieldPosition="0"/>
    </format>
  </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EF7D4A-252E-4779-BBF5-AFE4EBC1C9AB}" name="PivotTable12" cacheId="364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3">
  <location ref="P19:Q2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showDataAs="percentOfTotal" baseField="1" baseItem="0" numFmtId="10"/>
  </dataFields>
  <chartFormats count="3">
    <chartFormat chart="82" format="4" series="1">
      <pivotArea type="data" outline="0" fieldPosition="0">
        <references count="1">
          <reference field="4294967294" count="1" selected="0">
            <x v="0"/>
          </reference>
        </references>
      </pivotArea>
    </chartFormat>
    <chartFormat chart="82" format="5">
      <pivotArea type="data" outline="0" fieldPosition="0">
        <references count="2">
          <reference field="4294967294" count="1" selected="0">
            <x v="0"/>
          </reference>
          <reference field="1" count="1" selected="0">
            <x v="0"/>
          </reference>
        </references>
      </pivotArea>
    </chartFormat>
    <chartFormat chart="82"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multipleItemSelectionAllowed="1" dragToData="1"/>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E28ED2-F2DF-406D-9D5F-DF2C5049EA62}" name="PivotTable8" cacheId="364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9">
  <location ref="P4:R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10">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0"/>
          </reference>
          <reference field="0" count="1" selected="0">
            <x v="0"/>
          </reference>
        </references>
      </pivotArea>
    </chartFormat>
    <chartFormat chart="7" format="17">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1C520-160B-4197-9748-EDE4727BBE35}" name="PivotTable5" cacheId="363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location ref="G3:H370"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Patient Id" fld="0" subtotal="count" baseField="0" baseItem="0"/>
  </dataFields>
  <chartFormats count="2">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F3272-9B84-4843-966A-38D105D6FA9D}" name="PivotTable6" cacheId="363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J3:K370"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dataField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BBC9A-D3F3-4AA5-9B8C-A24696585EB8}" name="PivotTable4" cacheId="36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D9:E376"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Patient Id" fld="0" subtotal="count" baseField="0" baseItem="0"/>
  </dataField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67FE13-5619-4EAA-B550-630904C7B703}" name="PivotTable13" cacheId="365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0">
  <location ref="S19:T2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showDataAs="percentOfTotal" baseField="0" baseItem="0" numFmtId="10"/>
  </dataFields>
  <chartFormats count="3">
    <chartFormat chart="86" format="4" series="1">
      <pivotArea type="data" outline="0" fieldPosition="0">
        <references count="1">
          <reference field="4294967294" count="1" selected="0">
            <x v="0"/>
          </reference>
        </references>
      </pivotArea>
    </chartFormat>
    <chartFormat chart="86" format="5">
      <pivotArea type="data" outline="0" fieldPosition="0">
        <references count="2">
          <reference field="4294967294" count="1" selected="0">
            <x v="0"/>
          </reference>
          <reference field="1" count="1" selected="0">
            <x v="0"/>
          </reference>
        </references>
      </pivotArea>
    </chartFormat>
    <chartFormat chart="86"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multipleItemSelectionAllowed="1" dragToData="1"/>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07E028-4B2C-4ABB-9F95-A348D4698DF1}" name="PivotTable7" cacheId="363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M4:N368"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B905F6-BEE3-41FC-AB42-3B2E539ED75E}" name="PivotTable14" cacheId="365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1">
  <location ref="P28:Q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chartFormats count="2">
    <chartFormat chart="87" format="2" series="1">
      <pivotArea type="data" outline="0" fieldPosition="0">
        <references count="1">
          <reference field="4294967294" count="1" selected="0">
            <x v="0"/>
          </reference>
        </references>
      </pivotArea>
    </chartFormat>
    <chartFormat chart="90" format="4"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5376A8-3971-4E38-9704-B4FD8DC3E42B}" name="PivotTable11" cacheId="364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6">
  <location ref="U5:V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chartFormats count="2">
    <chartFormat chart="82" format="2" series="1">
      <pivotArea type="data" outline="0" fieldPosition="0">
        <references count="1">
          <reference field="4294967294" count="1" selected="0">
            <x v="0"/>
          </reference>
        </references>
      </pivotArea>
    </chartFormat>
    <chartFormat chart="85" format="4"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D58BE1C0-7A0D-4263-9C22-D137CA48DF7D}" sourceName="[Calender_Table].[Dates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1"/>
    <pivotTable tabId="1" name="PivotTable12"/>
    <pivotTable tabId="1" name="PivotTable13"/>
    <pivotTable tabId="1" name="PivotTable14"/>
  </pivotTables>
  <data>
    <olap pivotCacheId="1583238733">
      <levels count="2">
        <level uniqueName="[Calender_Table].[Dates (Month)].[(All)]" sourceCaption="(All)" count="0"/>
        <level uniqueName="[Calender_Table].[Dates (Month)].[Dates (Month)]" sourceCaption="Dates (Month)" count="12">
          <ranges>
            <range startItem="0">
              <i n="[Calender_Table].[Dates (Month)].&amp;[Jan]" c="Jan"/>
              <i n="[Calender_Table].[Dates (Month)].&amp;[Feb]" c="Feb"/>
              <i n="[Calender_Table].[Dates (Month)].&amp;[Mar]" c="Mar"/>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i n="[Calender_Table].[Dates (Month)].&amp;[Dec]" c="Dec"/>
            </range>
          </ranges>
        </level>
      </levels>
      <selections count="1">
        <selection n="[Calender_Table].[Dates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F335C2F5-477E-4169-8337-BE1B6B62F203}" sourceName="[Calender_Table].[Dates (Year)]">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s>
  <data>
    <olap pivotCacheId="1583238733">
      <levels count="2">
        <level uniqueName="[Calender_Table].[Dates (Year)].[(All)]" sourceCaption="(All)" count="0"/>
        <level uniqueName="[Calender_Table].[Dates (Year)].[Dates (Year)]" sourceCaption="Dates (Year)" count="2">
          <ranges>
            <range startItem="0">
              <i n="[Calender_Table].[Dates (Year)].&amp;[2023]" c="2023"/>
              <i n="[Calender_Table].[Dates (Year)].&amp;[2024]" c="2024"/>
            </range>
          </ranges>
        </level>
      </levels>
      <selections count="1">
        <selection n="[Calender_Table].[Dates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E8BF24E1-5517-44FD-A2F7-9FE23E7A99B8}" cache="Slicer_Dates__Month" caption="Dates (Month)" showCaption="0" level="1" style="My_Style" rowHeight="457200"/>
  <slicer name="Dates (Year)" xr10:uid="{9E4BB9A6-C0D4-4451-B6C9-D873E7D84C0E}" cache="Slicer_Dates__Year" caption="Dates (Year)" columnCount="2" showCaption="0" level="1" style="My_Style"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1F16-44F5-4237-9796-D75F4EC837AD}">
  <dimension ref="A2:V376"/>
  <sheetViews>
    <sheetView topLeftCell="M1" zoomScale="99" zoomScaleNormal="71" workbookViewId="0">
      <selection activeCell="P11" sqref="P11"/>
    </sheetView>
  </sheetViews>
  <sheetFormatPr defaultRowHeight="15" x14ac:dyDescent="0.25"/>
  <cols>
    <col min="1" max="1" width="34.5703125" bestFit="1" customWidth="1"/>
    <col min="4" max="4" width="27.140625" bestFit="1" customWidth="1"/>
    <col min="5" max="5" width="18" bestFit="1" customWidth="1"/>
    <col min="6" max="6" width="8.7109375" bestFit="1" customWidth="1"/>
    <col min="7" max="7" width="13.28515625" bestFit="1" customWidth="1"/>
    <col min="8" max="8" width="18" bestFit="1" customWidth="1"/>
    <col min="9" max="9" width="23.28515625" bestFit="1" customWidth="1"/>
    <col min="10" max="10" width="13.28515625" bestFit="1" customWidth="1"/>
    <col min="11" max="11" width="27.140625" bestFit="1" customWidth="1"/>
    <col min="12" max="12" width="8.7109375" bestFit="1" customWidth="1"/>
    <col min="13" max="13" width="13.28515625" bestFit="1" customWidth="1"/>
    <col min="14" max="14" width="34.5703125" bestFit="1" customWidth="1"/>
    <col min="15" max="15" width="28.85546875" customWidth="1"/>
    <col min="16" max="16" width="16.7109375" bestFit="1" customWidth="1"/>
    <col min="17" max="17" width="18" bestFit="1" customWidth="1"/>
    <col min="18" max="18" width="31.140625" bestFit="1" customWidth="1"/>
    <col min="19" max="19" width="13.28515625" bestFit="1" customWidth="1"/>
    <col min="20" max="20" width="23.28515625" bestFit="1" customWidth="1"/>
    <col min="21" max="21" width="13.28515625" bestFit="1" customWidth="1"/>
    <col min="22" max="22" width="19.42578125" bestFit="1" customWidth="1"/>
    <col min="23" max="23" width="29.140625" bestFit="1" customWidth="1"/>
    <col min="24" max="39" width="16.28515625" bestFit="1" customWidth="1"/>
    <col min="40" max="40" width="11.28515625" bestFit="1" customWidth="1"/>
    <col min="41" max="746" width="16.28515625" bestFit="1" customWidth="1"/>
    <col min="747" max="747" width="11.28515625" bestFit="1" customWidth="1"/>
  </cols>
  <sheetData>
    <row r="2" spans="1:22" x14ac:dyDescent="0.25">
      <c r="A2" t="s">
        <v>4</v>
      </c>
    </row>
    <row r="3" spans="1:22" x14ac:dyDescent="0.25">
      <c r="A3" t="s">
        <v>3</v>
      </c>
      <c r="D3" t="s">
        <v>5</v>
      </c>
      <c r="G3" s="1" t="s">
        <v>0</v>
      </c>
      <c r="H3" t="s">
        <v>2</v>
      </c>
      <c r="J3" s="1" t="s">
        <v>0</v>
      </c>
      <c r="K3" t="s">
        <v>5</v>
      </c>
    </row>
    <row r="4" spans="1:22" x14ac:dyDescent="0.25">
      <c r="A4" s="3">
        <v>9216</v>
      </c>
      <c r="B4">
        <f>GETPIVOTDATA("[Measures].[Count of Patient Id]",$A$3)</f>
        <v>9216</v>
      </c>
      <c r="D4" s="4">
        <v>35.259874131944443</v>
      </c>
      <c r="E4" s="4">
        <f>GETPIVOTDATA("[Measures].[Average of Patient Waittime]",$D$3)</f>
        <v>35.259874131944443</v>
      </c>
      <c r="G4" s="2" t="s">
        <v>236</v>
      </c>
      <c r="H4" s="3">
        <v>19</v>
      </c>
      <c r="J4" s="2" t="s">
        <v>236</v>
      </c>
      <c r="K4" s="3">
        <v>37.789473684210527</v>
      </c>
      <c r="M4" s="1" t="s">
        <v>0</v>
      </c>
      <c r="N4" t="s">
        <v>6</v>
      </c>
      <c r="P4" s="1" t="s">
        <v>0</v>
      </c>
      <c r="Q4" t="s">
        <v>100</v>
      </c>
      <c r="R4" t="s">
        <v>101</v>
      </c>
    </row>
    <row r="5" spans="1:22" x14ac:dyDescent="0.25">
      <c r="G5" s="2" t="s">
        <v>237</v>
      </c>
      <c r="H5" s="3">
        <v>14</v>
      </c>
      <c r="J5" s="2" t="s">
        <v>237</v>
      </c>
      <c r="K5" s="3">
        <v>38.214285714285715</v>
      </c>
      <c r="M5" s="2" t="s">
        <v>236</v>
      </c>
      <c r="N5" s="3">
        <v>6.666666666666667</v>
      </c>
      <c r="P5" s="2" t="s">
        <v>98</v>
      </c>
      <c r="Q5" s="3">
        <v>4612</v>
      </c>
      <c r="R5" s="6">
        <v>0.50043402777777779</v>
      </c>
      <c r="U5" s="1" t="s">
        <v>0</v>
      </c>
      <c r="V5" t="s">
        <v>235</v>
      </c>
    </row>
    <row r="6" spans="1:22" x14ac:dyDescent="0.25">
      <c r="G6" s="2" t="s">
        <v>238</v>
      </c>
      <c r="H6" s="3">
        <v>13</v>
      </c>
      <c r="J6" s="2" t="s">
        <v>238</v>
      </c>
      <c r="K6" s="3">
        <v>40.92307692307692</v>
      </c>
      <c r="M6" s="2" t="s">
        <v>237</v>
      </c>
      <c r="N6" s="3">
        <v>3.5</v>
      </c>
      <c r="P6" s="2" t="s">
        <v>99</v>
      </c>
      <c r="Q6" s="3">
        <v>4604</v>
      </c>
      <c r="R6" s="6">
        <v>0.49956597222222221</v>
      </c>
      <c r="U6" s="2" t="s">
        <v>227</v>
      </c>
      <c r="V6" s="3">
        <v>1176</v>
      </c>
    </row>
    <row r="7" spans="1:22" x14ac:dyDescent="0.25">
      <c r="G7" s="2" t="s">
        <v>239</v>
      </c>
      <c r="H7" s="3">
        <v>22</v>
      </c>
      <c r="J7" s="2" t="s">
        <v>239</v>
      </c>
      <c r="K7" s="3">
        <v>34.5</v>
      </c>
      <c r="M7" s="2" t="s">
        <v>238</v>
      </c>
      <c r="N7" s="3">
        <v>4.5</v>
      </c>
      <c r="P7" s="2" t="s">
        <v>1</v>
      </c>
      <c r="Q7" s="3">
        <v>9216</v>
      </c>
      <c r="R7" s="6">
        <v>1</v>
      </c>
      <c r="U7" s="2" t="s">
        <v>228</v>
      </c>
      <c r="V7" s="3">
        <v>1160</v>
      </c>
    </row>
    <row r="8" spans="1:22" x14ac:dyDescent="0.25">
      <c r="G8" s="2" t="s">
        <v>240</v>
      </c>
      <c r="H8" s="3">
        <v>19</v>
      </c>
      <c r="J8" s="2" t="s">
        <v>240</v>
      </c>
      <c r="K8" s="3">
        <v>30.684210526315791</v>
      </c>
      <c r="M8" s="2" t="s">
        <v>239</v>
      </c>
      <c r="N8" s="3">
        <v>4.8</v>
      </c>
      <c r="U8" s="2" t="s">
        <v>229</v>
      </c>
      <c r="V8" s="3">
        <v>1207</v>
      </c>
    </row>
    <row r="9" spans="1:22" x14ac:dyDescent="0.25">
      <c r="A9" t="s">
        <v>6</v>
      </c>
      <c r="D9" s="1" t="s">
        <v>0</v>
      </c>
      <c r="E9" t="s">
        <v>2</v>
      </c>
      <c r="G9" s="2" t="s">
        <v>241</v>
      </c>
      <c r="H9" s="3">
        <v>15</v>
      </c>
      <c r="J9" s="2" t="s">
        <v>241</v>
      </c>
      <c r="K9" s="3">
        <v>37.666666666666664</v>
      </c>
      <c r="M9" s="2" t="s">
        <v>240</v>
      </c>
      <c r="N9" s="3">
        <v>7.75</v>
      </c>
      <c r="U9" s="2" t="s">
        <v>230</v>
      </c>
      <c r="V9" s="3">
        <v>1191</v>
      </c>
    </row>
    <row r="10" spans="1:22" x14ac:dyDescent="0.25">
      <c r="A10" s="4">
        <v>4.9920540325784666</v>
      </c>
      <c r="B10" s="4">
        <f>GETPIVOTDATA("[Measures].[Average of Patient Satisfaction Score]",$A$9)</f>
        <v>4.9920540325784666</v>
      </c>
      <c r="D10" s="2" t="s">
        <v>236</v>
      </c>
      <c r="E10" s="3">
        <v>19</v>
      </c>
      <c r="G10" s="2" t="s">
        <v>242</v>
      </c>
      <c r="H10" s="3">
        <v>12</v>
      </c>
      <c r="J10" s="2" t="s">
        <v>242</v>
      </c>
      <c r="K10" s="3">
        <v>36.083333333333336</v>
      </c>
      <c r="M10" s="2" t="s">
        <v>241</v>
      </c>
      <c r="N10" s="3">
        <v>6.2</v>
      </c>
      <c r="U10" s="2" t="s">
        <v>231</v>
      </c>
      <c r="V10" s="3">
        <v>1137</v>
      </c>
    </row>
    <row r="11" spans="1:22" x14ac:dyDescent="0.25">
      <c r="D11" s="2" t="s">
        <v>237</v>
      </c>
      <c r="E11" s="3">
        <v>14</v>
      </c>
      <c r="G11" s="2" t="s">
        <v>243</v>
      </c>
      <c r="H11" s="3">
        <v>21</v>
      </c>
      <c r="J11" s="2" t="s">
        <v>243</v>
      </c>
      <c r="K11" s="3">
        <v>43.523809523809526</v>
      </c>
      <c r="M11" s="2" t="s">
        <v>242</v>
      </c>
      <c r="N11" s="3">
        <v>3.75</v>
      </c>
      <c r="U11" s="2" t="s">
        <v>232</v>
      </c>
      <c r="V11" s="3">
        <v>1147</v>
      </c>
    </row>
    <row r="12" spans="1:22" x14ac:dyDescent="0.25">
      <c r="D12" s="2" t="s">
        <v>238</v>
      </c>
      <c r="E12" s="3">
        <v>13</v>
      </c>
      <c r="G12" s="2" t="s">
        <v>244</v>
      </c>
      <c r="H12" s="3">
        <v>12</v>
      </c>
      <c r="J12" s="2" t="s">
        <v>244</v>
      </c>
      <c r="K12" s="3">
        <v>29.5</v>
      </c>
      <c r="M12" s="2" t="s">
        <v>243</v>
      </c>
      <c r="N12" s="3">
        <v>6.5</v>
      </c>
      <c r="U12" s="2" t="s">
        <v>233</v>
      </c>
      <c r="V12" s="3">
        <v>1150</v>
      </c>
    </row>
    <row r="13" spans="1:22" x14ac:dyDescent="0.25">
      <c r="D13" s="2" t="s">
        <v>239</v>
      </c>
      <c r="E13" s="3">
        <v>22</v>
      </c>
      <c r="G13" s="2" t="s">
        <v>245</v>
      </c>
      <c r="H13" s="3">
        <v>13</v>
      </c>
      <c r="J13" s="2" t="s">
        <v>245</v>
      </c>
      <c r="K13" s="3">
        <v>38.07692307692308</v>
      </c>
      <c r="M13" s="2" t="s">
        <v>244</v>
      </c>
      <c r="N13" s="3">
        <v>3</v>
      </c>
      <c r="P13" s="8" t="s">
        <v>102</v>
      </c>
      <c r="Q13" s="8" t="s">
        <v>103</v>
      </c>
      <c r="R13" s="8" t="s">
        <v>104</v>
      </c>
      <c r="S13" s="9"/>
      <c r="U13" s="2" t="s">
        <v>234</v>
      </c>
      <c r="V13" s="3">
        <v>1048</v>
      </c>
    </row>
    <row r="14" spans="1:22" x14ac:dyDescent="0.25">
      <c r="D14" s="2" t="s">
        <v>240</v>
      </c>
      <c r="E14" s="3">
        <v>19</v>
      </c>
      <c r="G14" s="2" t="s">
        <v>246</v>
      </c>
      <c r="H14" s="3">
        <v>13</v>
      </c>
      <c r="J14" s="2" t="s">
        <v>246</v>
      </c>
      <c r="K14" s="3">
        <v>35.846153846153847</v>
      </c>
      <c r="M14" s="2" t="s">
        <v>245</v>
      </c>
      <c r="N14" s="3">
        <v>4.5</v>
      </c>
      <c r="P14" s="10" t="s">
        <v>99</v>
      </c>
      <c r="Q14" s="10">
        <f>GETPIVOTDATA("[Measures].[Count of Patient Admission Flag]",$P$4,"[Hospital_Data].[Patient Admission Flag]","[Hospital_Data].[Patient Admission Flag].&amp;[Admitted]")</f>
        <v>4612</v>
      </c>
      <c r="R14" s="11">
        <f>GETPIVOTDATA("[__Xl2].[Measures].[Count of Patient Admission Flag]",$P$4,"[Hospital_Data].[Patient Admission Flag]","[Hospital_Data].[Patient Admission Flag].&amp;[Not Admitted]")</f>
        <v>0.49956597222222221</v>
      </c>
      <c r="S14" s="12"/>
      <c r="U14" s="2" t="s">
        <v>1</v>
      </c>
      <c r="V14" s="3">
        <v>9216</v>
      </c>
    </row>
    <row r="15" spans="1:22" x14ac:dyDescent="0.25">
      <c r="D15" s="2" t="s">
        <v>241</v>
      </c>
      <c r="E15" s="3">
        <v>15</v>
      </c>
      <c r="G15" s="2" t="s">
        <v>247</v>
      </c>
      <c r="H15" s="3">
        <v>16</v>
      </c>
      <c r="J15" s="2" t="s">
        <v>247</v>
      </c>
      <c r="K15" s="3">
        <v>32.625</v>
      </c>
      <c r="M15" s="2" t="s">
        <v>246</v>
      </c>
      <c r="N15" s="3">
        <v>6</v>
      </c>
      <c r="P15" s="10" t="s">
        <v>98</v>
      </c>
      <c r="Q15" s="10">
        <f>GETPIVOTDATA("[Measures].[Count of Patient Admission Flag]",$P$4,"[Hospital_Data].[Patient Admission Flag]","[Hospital_Data].[Patient Admission Flag].&amp;[Not Admitted]")</f>
        <v>4604</v>
      </c>
      <c r="R15" s="11">
        <f>GETPIVOTDATA("[__Xl2].[Measures].[Count of Patient Admission Flag]",$P$4,"[Hospital_Data].[Patient Admission Flag]","[Hospital_Data].[Patient Admission Flag].&amp;[Admitted]")</f>
        <v>0.50043402777777779</v>
      </c>
      <c r="S15" s="12"/>
    </row>
    <row r="16" spans="1:22" x14ac:dyDescent="0.25">
      <c r="D16" s="2" t="s">
        <v>242</v>
      </c>
      <c r="E16" s="3">
        <v>12</v>
      </c>
      <c r="G16" s="2" t="s">
        <v>248</v>
      </c>
      <c r="H16" s="3">
        <v>20</v>
      </c>
      <c r="J16" s="2" t="s">
        <v>248</v>
      </c>
      <c r="K16" s="3">
        <v>39.200000000000003</v>
      </c>
      <c r="M16" s="2" t="s">
        <v>247</v>
      </c>
      <c r="N16" s="3">
        <v>5.2</v>
      </c>
      <c r="P16" s="13"/>
      <c r="Q16" s="13"/>
      <c r="R16" s="13"/>
      <c r="S16" s="13"/>
    </row>
    <row r="17" spans="4:20" x14ac:dyDescent="0.25">
      <c r="D17" s="2" t="s">
        <v>243</v>
      </c>
      <c r="E17" s="3">
        <v>21</v>
      </c>
      <c r="G17" s="2" t="s">
        <v>249</v>
      </c>
      <c r="H17" s="3">
        <v>25</v>
      </c>
      <c r="J17" s="2" t="s">
        <v>249</v>
      </c>
      <c r="K17" s="3">
        <v>35.28</v>
      </c>
      <c r="M17" s="2" t="s">
        <v>248</v>
      </c>
      <c r="N17" s="3">
        <v>4.4000000000000004</v>
      </c>
    </row>
    <row r="18" spans="4:20" x14ac:dyDescent="0.25">
      <c r="D18" s="2" t="s">
        <v>244</v>
      </c>
      <c r="E18" s="3">
        <v>12</v>
      </c>
      <c r="G18" s="2" t="s">
        <v>250</v>
      </c>
      <c r="H18" s="3">
        <v>20</v>
      </c>
      <c r="J18" s="2" t="s">
        <v>250</v>
      </c>
      <c r="K18" s="3">
        <v>32.549999999999997</v>
      </c>
      <c r="M18" s="2" t="s">
        <v>249</v>
      </c>
      <c r="N18" s="3">
        <v>3.4545454545454546</v>
      </c>
    </row>
    <row r="19" spans="4:20" x14ac:dyDescent="0.25">
      <c r="D19" s="2" t="s">
        <v>245</v>
      </c>
      <c r="E19" s="3">
        <v>13</v>
      </c>
      <c r="G19" s="2" t="s">
        <v>251</v>
      </c>
      <c r="H19" s="3">
        <v>14</v>
      </c>
      <c r="J19" s="2" t="s">
        <v>251</v>
      </c>
      <c r="K19" s="3">
        <v>35.642857142857146</v>
      </c>
      <c r="M19" s="2" t="s">
        <v>250</v>
      </c>
      <c r="N19" s="3">
        <v>4.4000000000000004</v>
      </c>
      <c r="P19" s="1" t="s">
        <v>0</v>
      </c>
      <c r="Q19" t="s">
        <v>329</v>
      </c>
      <c r="S19" s="1" t="s">
        <v>0</v>
      </c>
      <c r="T19" t="s">
        <v>332</v>
      </c>
    </row>
    <row r="20" spans="4:20" x14ac:dyDescent="0.25">
      <c r="D20" s="2" t="s">
        <v>246</v>
      </c>
      <c r="E20" s="3">
        <v>13</v>
      </c>
      <c r="G20" s="2" t="s">
        <v>252</v>
      </c>
      <c r="H20" s="3">
        <v>17</v>
      </c>
      <c r="J20" s="2" t="s">
        <v>252</v>
      </c>
      <c r="K20" s="3">
        <v>38.764705882352942</v>
      </c>
      <c r="M20" s="2" t="s">
        <v>251</v>
      </c>
      <c r="N20" s="3">
        <v>5.833333333333333</v>
      </c>
      <c r="P20" s="2" t="s">
        <v>327</v>
      </c>
      <c r="Q20" s="6">
        <v>0.59320746527777779</v>
      </c>
      <c r="S20" s="2" t="s">
        <v>330</v>
      </c>
      <c r="T20" s="6">
        <v>0.48687065972222221</v>
      </c>
    </row>
    <row r="21" spans="4:20" x14ac:dyDescent="0.25">
      <c r="D21" s="2" t="s">
        <v>247</v>
      </c>
      <c r="E21" s="3">
        <v>16</v>
      </c>
      <c r="G21" s="2" t="s">
        <v>253</v>
      </c>
      <c r="H21" s="3">
        <v>20</v>
      </c>
      <c r="J21" s="2" t="s">
        <v>253</v>
      </c>
      <c r="K21" s="3">
        <v>39.9</v>
      </c>
      <c r="M21" s="2" t="s">
        <v>252</v>
      </c>
      <c r="N21" s="3">
        <v>4.4444444444444446</v>
      </c>
      <c r="P21" s="2" t="s">
        <v>328</v>
      </c>
      <c r="Q21" s="6">
        <v>0.40679253472222221</v>
      </c>
      <c r="S21" s="2" t="s">
        <v>331</v>
      </c>
      <c r="T21" s="6">
        <v>0.51312934027777779</v>
      </c>
    </row>
    <row r="22" spans="4:20" x14ac:dyDescent="0.25">
      <c r="D22" s="2" t="s">
        <v>248</v>
      </c>
      <c r="E22" s="3">
        <v>20</v>
      </c>
      <c r="G22" s="2" t="s">
        <v>254</v>
      </c>
      <c r="H22" s="3">
        <v>10</v>
      </c>
      <c r="J22" s="2" t="s">
        <v>254</v>
      </c>
      <c r="K22" s="3">
        <v>41.6</v>
      </c>
      <c r="M22" s="2" t="s">
        <v>253</v>
      </c>
      <c r="N22" s="3">
        <v>5.333333333333333</v>
      </c>
      <c r="P22" s="2" t="s">
        <v>1</v>
      </c>
      <c r="Q22" s="6">
        <v>1</v>
      </c>
      <c r="S22" s="2" t="s">
        <v>1</v>
      </c>
      <c r="T22" s="6">
        <v>1</v>
      </c>
    </row>
    <row r="23" spans="4:20" x14ac:dyDescent="0.25">
      <c r="D23" s="2" t="s">
        <v>249</v>
      </c>
      <c r="E23" s="3">
        <v>25</v>
      </c>
      <c r="G23" s="2" t="s">
        <v>255</v>
      </c>
      <c r="H23" s="3">
        <v>17</v>
      </c>
      <c r="J23" s="2" t="s">
        <v>255</v>
      </c>
      <c r="K23" s="3">
        <v>39.470588235294116</v>
      </c>
      <c r="M23" s="2" t="s">
        <v>254</v>
      </c>
      <c r="N23" s="3">
        <v>5.333333333333333</v>
      </c>
    </row>
    <row r="24" spans="4:20" x14ac:dyDescent="0.25">
      <c r="D24" s="2" t="s">
        <v>250</v>
      </c>
      <c r="E24" s="3">
        <v>20</v>
      </c>
      <c r="G24" s="2" t="s">
        <v>256</v>
      </c>
      <c r="H24" s="3">
        <v>15</v>
      </c>
      <c r="J24" s="2" t="s">
        <v>256</v>
      </c>
      <c r="K24" s="3">
        <v>27.733333333333334</v>
      </c>
      <c r="M24" s="2" t="s">
        <v>255</v>
      </c>
      <c r="N24" s="3">
        <v>5.5714285714285712</v>
      </c>
    </row>
    <row r="25" spans="4:20" x14ac:dyDescent="0.25">
      <c r="D25" s="2" t="s">
        <v>251</v>
      </c>
      <c r="E25" s="3">
        <v>14</v>
      </c>
      <c r="G25" s="2" t="s">
        <v>257</v>
      </c>
      <c r="H25" s="3">
        <v>16</v>
      </c>
      <c r="J25" s="2" t="s">
        <v>257</v>
      </c>
      <c r="K25" s="3">
        <v>36.875</v>
      </c>
      <c r="M25" s="2" t="s">
        <v>256</v>
      </c>
      <c r="N25" s="3">
        <v>5</v>
      </c>
    </row>
    <row r="26" spans="4:20" x14ac:dyDescent="0.25">
      <c r="D26" s="2" t="s">
        <v>252</v>
      </c>
      <c r="E26" s="3">
        <v>17</v>
      </c>
      <c r="G26" s="2" t="s">
        <v>258</v>
      </c>
      <c r="H26" s="3">
        <v>18</v>
      </c>
      <c r="J26" s="2" t="s">
        <v>258</v>
      </c>
      <c r="K26" s="3">
        <v>40.333333333333336</v>
      </c>
      <c r="M26" s="2" t="s">
        <v>257</v>
      </c>
      <c r="N26" s="3">
        <v>6.4</v>
      </c>
    </row>
    <row r="27" spans="4:20" x14ac:dyDescent="0.25">
      <c r="D27" s="2" t="s">
        <v>253</v>
      </c>
      <c r="E27" s="3">
        <v>20</v>
      </c>
      <c r="G27" s="2" t="s">
        <v>259</v>
      </c>
      <c r="H27" s="3">
        <v>16</v>
      </c>
      <c r="J27" s="2" t="s">
        <v>259</v>
      </c>
      <c r="K27" s="3">
        <v>36.5</v>
      </c>
      <c r="M27" s="2" t="s">
        <v>258</v>
      </c>
      <c r="N27" s="3">
        <v>5.333333333333333</v>
      </c>
    </row>
    <row r="28" spans="4:20" x14ac:dyDescent="0.25">
      <c r="D28" s="2" t="s">
        <v>254</v>
      </c>
      <c r="E28" s="3">
        <v>10</v>
      </c>
      <c r="G28" s="2" t="s">
        <v>260</v>
      </c>
      <c r="H28" s="3">
        <v>15</v>
      </c>
      <c r="J28" s="2" t="s">
        <v>260</v>
      </c>
      <c r="K28" s="3">
        <v>32.866666666666667</v>
      </c>
      <c r="M28" s="2" t="s">
        <v>259</v>
      </c>
      <c r="N28" s="3">
        <v>3.75</v>
      </c>
      <c r="P28" s="1" t="s">
        <v>0</v>
      </c>
      <c r="Q28" t="s">
        <v>2</v>
      </c>
    </row>
    <row r="29" spans="4:20" x14ac:dyDescent="0.25">
      <c r="D29" s="2" t="s">
        <v>255</v>
      </c>
      <c r="E29" s="3">
        <v>17</v>
      </c>
      <c r="G29" s="2" t="s">
        <v>261</v>
      </c>
      <c r="H29" s="3">
        <v>14</v>
      </c>
      <c r="J29" s="2" t="s">
        <v>261</v>
      </c>
      <c r="K29" s="3">
        <v>36.642857142857146</v>
      </c>
      <c r="M29" s="2" t="s">
        <v>260</v>
      </c>
      <c r="N29" s="3">
        <v>6.333333333333333</v>
      </c>
      <c r="P29" s="2" t="s">
        <v>333</v>
      </c>
      <c r="Q29" s="3">
        <v>248</v>
      </c>
    </row>
    <row r="30" spans="4:20" x14ac:dyDescent="0.25">
      <c r="D30" s="2" t="s">
        <v>256</v>
      </c>
      <c r="E30" s="3">
        <v>15</v>
      </c>
      <c r="G30" s="2" t="s">
        <v>262</v>
      </c>
      <c r="H30" s="3">
        <v>16</v>
      </c>
      <c r="J30" s="2" t="s">
        <v>262</v>
      </c>
      <c r="K30" s="3">
        <v>36.5625</v>
      </c>
      <c r="M30" s="2" t="s">
        <v>261</v>
      </c>
      <c r="N30" s="3">
        <v>10</v>
      </c>
      <c r="P30" s="2" t="s">
        <v>334</v>
      </c>
      <c r="Q30" s="3">
        <v>178</v>
      </c>
    </row>
    <row r="31" spans="4:20" x14ac:dyDescent="0.25">
      <c r="D31" s="2" t="s">
        <v>257</v>
      </c>
      <c r="E31" s="3">
        <v>16</v>
      </c>
      <c r="G31" s="2" t="s">
        <v>263</v>
      </c>
      <c r="H31" s="3">
        <v>20</v>
      </c>
      <c r="J31" s="2" t="s">
        <v>263</v>
      </c>
      <c r="K31" s="3">
        <v>32.15</v>
      </c>
      <c r="M31" s="2" t="s">
        <v>262</v>
      </c>
      <c r="N31" s="3">
        <v>5</v>
      </c>
      <c r="P31" s="2" t="s">
        <v>335</v>
      </c>
      <c r="Q31" s="3">
        <v>1840</v>
      </c>
    </row>
    <row r="32" spans="4:20" x14ac:dyDescent="0.25">
      <c r="D32" s="2" t="s">
        <v>258</v>
      </c>
      <c r="E32" s="3">
        <v>18</v>
      </c>
      <c r="G32" s="2" t="s">
        <v>264</v>
      </c>
      <c r="H32" s="3">
        <v>19</v>
      </c>
      <c r="J32" s="2" t="s">
        <v>264</v>
      </c>
      <c r="K32" s="3">
        <v>38.368421052631582</v>
      </c>
      <c r="M32" s="2" t="s">
        <v>263</v>
      </c>
      <c r="N32" s="3">
        <v>5.333333333333333</v>
      </c>
      <c r="P32" s="2" t="s">
        <v>336</v>
      </c>
      <c r="Q32" s="3">
        <v>193</v>
      </c>
    </row>
    <row r="33" spans="4:17" x14ac:dyDescent="0.25">
      <c r="D33" s="2" t="s">
        <v>259</v>
      </c>
      <c r="E33" s="3">
        <v>16</v>
      </c>
      <c r="G33" s="2" t="s">
        <v>265</v>
      </c>
      <c r="H33" s="3">
        <v>14</v>
      </c>
      <c r="J33" s="2" t="s">
        <v>265</v>
      </c>
      <c r="K33" s="3">
        <v>33.071428571428569</v>
      </c>
      <c r="M33" s="2" t="s">
        <v>264</v>
      </c>
      <c r="N33" s="3">
        <v>4.8</v>
      </c>
      <c r="P33" s="2" t="s">
        <v>337</v>
      </c>
      <c r="Q33" s="3">
        <v>5400</v>
      </c>
    </row>
    <row r="34" spans="4:17" x14ac:dyDescent="0.25">
      <c r="D34" s="2" t="s">
        <v>260</v>
      </c>
      <c r="E34" s="3">
        <v>15</v>
      </c>
      <c r="G34" s="2" t="s">
        <v>266</v>
      </c>
      <c r="H34" s="3">
        <v>18</v>
      </c>
      <c r="J34" s="2" t="s">
        <v>266</v>
      </c>
      <c r="K34" s="3">
        <v>36.444444444444443</v>
      </c>
      <c r="M34" s="2" t="s">
        <v>265</v>
      </c>
      <c r="N34" s="3">
        <v>5</v>
      </c>
      <c r="P34" s="2" t="s">
        <v>338</v>
      </c>
      <c r="Q34" s="3">
        <v>995</v>
      </c>
    </row>
    <row r="35" spans="4:17" x14ac:dyDescent="0.25">
      <c r="D35" s="2" t="s">
        <v>261</v>
      </c>
      <c r="E35" s="3">
        <v>14</v>
      </c>
      <c r="G35" s="2" t="s">
        <v>267</v>
      </c>
      <c r="H35" s="3">
        <v>13</v>
      </c>
      <c r="J35" s="2" t="s">
        <v>267</v>
      </c>
      <c r="K35" s="3">
        <v>35.692307692307693</v>
      </c>
      <c r="M35" s="2" t="s">
        <v>266</v>
      </c>
      <c r="N35" s="3">
        <v>1.4</v>
      </c>
      <c r="P35" s="2" t="s">
        <v>339</v>
      </c>
      <c r="Q35" s="3">
        <v>276</v>
      </c>
    </row>
    <row r="36" spans="4:17" x14ac:dyDescent="0.25">
      <c r="D36" s="2" t="s">
        <v>262</v>
      </c>
      <c r="E36" s="3">
        <v>16</v>
      </c>
      <c r="G36" s="2" t="s">
        <v>268</v>
      </c>
      <c r="H36" s="3">
        <v>10</v>
      </c>
      <c r="J36" s="2" t="s">
        <v>268</v>
      </c>
      <c r="K36" s="3">
        <v>45.4</v>
      </c>
      <c r="M36" s="2" t="s">
        <v>267</v>
      </c>
      <c r="N36" s="3">
        <v>4.166666666666667</v>
      </c>
      <c r="P36" s="2" t="s">
        <v>340</v>
      </c>
      <c r="Q36" s="3">
        <v>86</v>
      </c>
    </row>
    <row r="37" spans="4:17" x14ac:dyDescent="0.25">
      <c r="D37" s="2" t="s">
        <v>263</v>
      </c>
      <c r="E37" s="3">
        <v>20</v>
      </c>
      <c r="G37" s="2" t="s">
        <v>269</v>
      </c>
      <c r="H37" s="3">
        <v>8</v>
      </c>
      <c r="J37" s="2" t="s">
        <v>269</v>
      </c>
      <c r="K37" s="3">
        <v>29.375</v>
      </c>
      <c r="M37" s="2" t="s">
        <v>268</v>
      </c>
      <c r="N37" s="3">
        <v>5.75</v>
      </c>
      <c r="P37" s="2" t="s">
        <v>1</v>
      </c>
      <c r="Q37" s="3">
        <v>9216</v>
      </c>
    </row>
    <row r="38" spans="4:17" x14ac:dyDescent="0.25">
      <c r="D38" s="2" t="s">
        <v>264</v>
      </c>
      <c r="E38" s="3">
        <v>19</v>
      </c>
      <c r="G38" s="2" t="s">
        <v>270</v>
      </c>
      <c r="H38" s="3">
        <v>12</v>
      </c>
      <c r="J38" s="2" t="s">
        <v>270</v>
      </c>
      <c r="K38" s="3">
        <v>34.583333333333336</v>
      </c>
      <c r="M38" s="2" t="s">
        <v>269</v>
      </c>
      <c r="N38" s="3">
        <v>4.75</v>
      </c>
    </row>
    <row r="39" spans="4:17" x14ac:dyDescent="0.25">
      <c r="D39" s="2" t="s">
        <v>265</v>
      </c>
      <c r="E39" s="3">
        <v>14</v>
      </c>
      <c r="G39" s="2" t="s">
        <v>271</v>
      </c>
      <c r="H39" s="3">
        <v>19</v>
      </c>
      <c r="J39" s="2" t="s">
        <v>271</v>
      </c>
      <c r="K39" s="3">
        <v>38.684210526315788</v>
      </c>
      <c r="M39" s="2" t="s">
        <v>270</v>
      </c>
      <c r="N39" s="3">
        <v>7</v>
      </c>
    </row>
    <row r="40" spans="4:17" x14ac:dyDescent="0.25">
      <c r="D40" s="2" t="s">
        <v>266</v>
      </c>
      <c r="E40" s="3">
        <v>18</v>
      </c>
      <c r="G40" s="2" t="s">
        <v>272</v>
      </c>
      <c r="H40" s="3">
        <v>9</v>
      </c>
      <c r="J40" s="2" t="s">
        <v>272</v>
      </c>
      <c r="K40" s="3">
        <v>34.777777777777779</v>
      </c>
      <c r="M40" s="2" t="s">
        <v>271</v>
      </c>
      <c r="N40" s="3">
        <v>3.1428571428571428</v>
      </c>
    </row>
    <row r="41" spans="4:17" x14ac:dyDescent="0.25">
      <c r="D41" s="2" t="s">
        <v>267</v>
      </c>
      <c r="E41" s="3">
        <v>13</v>
      </c>
      <c r="G41" s="2" t="s">
        <v>273</v>
      </c>
      <c r="H41" s="3">
        <v>13</v>
      </c>
      <c r="J41" s="2" t="s">
        <v>273</v>
      </c>
      <c r="K41" s="3">
        <v>37.307692307692307</v>
      </c>
      <c r="M41" s="2" t="s">
        <v>272</v>
      </c>
      <c r="N41" s="3">
        <v>8</v>
      </c>
    </row>
    <row r="42" spans="4:17" x14ac:dyDescent="0.25">
      <c r="D42" s="2" t="s">
        <v>268</v>
      </c>
      <c r="E42" s="3">
        <v>10</v>
      </c>
      <c r="G42" s="2" t="s">
        <v>274</v>
      </c>
      <c r="H42" s="3">
        <v>19</v>
      </c>
      <c r="J42" s="2" t="s">
        <v>274</v>
      </c>
      <c r="K42" s="3">
        <v>35.631578947368418</v>
      </c>
      <c r="M42" s="2" t="s">
        <v>273</v>
      </c>
      <c r="N42" s="3">
        <v>5.25</v>
      </c>
    </row>
    <row r="43" spans="4:17" x14ac:dyDescent="0.25">
      <c r="D43" s="2" t="s">
        <v>269</v>
      </c>
      <c r="E43" s="3">
        <v>8</v>
      </c>
      <c r="G43" s="2" t="s">
        <v>275</v>
      </c>
      <c r="H43" s="3">
        <v>10</v>
      </c>
      <c r="J43" s="2" t="s">
        <v>275</v>
      </c>
      <c r="K43" s="3">
        <v>36.6</v>
      </c>
      <c r="M43" s="2" t="s">
        <v>274</v>
      </c>
      <c r="N43" s="3">
        <v>4.5714285714285712</v>
      </c>
    </row>
    <row r="44" spans="4:17" x14ac:dyDescent="0.25">
      <c r="D44" s="2" t="s">
        <v>270</v>
      </c>
      <c r="E44" s="3">
        <v>12</v>
      </c>
      <c r="G44" s="2" t="s">
        <v>276</v>
      </c>
      <c r="H44" s="3">
        <v>20</v>
      </c>
      <c r="J44" s="2" t="s">
        <v>276</v>
      </c>
      <c r="K44" s="3">
        <v>39.700000000000003</v>
      </c>
      <c r="M44" s="2" t="s">
        <v>275</v>
      </c>
      <c r="N44" s="3">
        <v>2.75</v>
      </c>
    </row>
    <row r="45" spans="4:17" x14ac:dyDescent="0.25">
      <c r="D45" s="2" t="s">
        <v>271</v>
      </c>
      <c r="E45" s="3">
        <v>19</v>
      </c>
      <c r="G45" s="2" t="s">
        <v>277</v>
      </c>
      <c r="H45" s="3">
        <v>15</v>
      </c>
      <c r="J45" s="2" t="s">
        <v>277</v>
      </c>
      <c r="K45" s="3">
        <v>37.4</v>
      </c>
      <c r="M45" s="2" t="s">
        <v>276</v>
      </c>
      <c r="N45" s="3">
        <v>4.5</v>
      </c>
    </row>
    <row r="46" spans="4:17" x14ac:dyDescent="0.25">
      <c r="D46" s="2" t="s">
        <v>272</v>
      </c>
      <c r="E46" s="3">
        <v>9</v>
      </c>
      <c r="G46" s="2" t="s">
        <v>278</v>
      </c>
      <c r="H46" s="3">
        <v>13</v>
      </c>
      <c r="J46" s="2" t="s">
        <v>278</v>
      </c>
      <c r="K46" s="3">
        <v>27.76923076923077</v>
      </c>
      <c r="M46" s="2" t="s">
        <v>277</v>
      </c>
      <c r="N46" s="3">
        <v>5.5</v>
      </c>
    </row>
    <row r="47" spans="4:17" x14ac:dyDescent="0.25">
      <c r="D47" s="2" t="s">
        <v>273</v>
      </c>
      <c r="E47" s="3">
        <v>13</v>
      </c>
      <c r="G47" s="2" t="s">
        <v>279</v>
      </c>
      <c r="H47" s="3">
        <v>9</v>
      </c>
      <c r="J47" s="2" t="s">
        <v>279</v>
      </c>
      <c r="K47" s="3">
        <v>38.777777777777779</v>
      </c>
      <c r="M47" s="2" t="s">
        <v>278</v>
      </c>
      <c r="N47" s="3">
        <v>5.6</v>
      </c>
    </row>
    <row r="48" spans="4:17" x14ac:dyDescent="0.25">
      <c r="D48" s="2" t="s">
        <v>274</v>
      </c>
      <c r="E48" s="3">
        <v>19</v>
      </c>
      <c r="G48" s="2" t="s">
        <v>280</v>
      </c>
      <c r="H48" s="3">
        <v>19</v>
      </c>
      <c r="J48" s="2" t="s">
        <v>280</v>
      </c>
      <c r="K48" s="3">
        <v>31</v>
      </c>
      <c r="M48" s="2" t="s">
        <v>279</v>
      </c>
      <c r="N48" s="3">
        <v>5.75</v>
      </c>
    </row>
    <row r="49" spans="4:14" x14ac:dyDescent="0.25">
      <c r="D49" s="2" t="s">
        <v>275</v>
      </c>
      <c r="E49" s="3">
        <v>10</v>
      </c>
      <c r="G49" s="2" t="s">
        <v>281</v>
      </c>
      <c r="H49" s="3">
        <v>14</v>
      </c>
      <c r="J49" s="2" t="s">
        <v>281</v>
      </c>
      <c r="K49" s="3">
        <v>35.928571428571431</v>
      </c>
      <c r="M49" s="2" t="s">
        <v>280</v>
      </c>
      <c r="N49" s="3">
        <v>3.4444444444444446</v>
      </c>
    </row>
    <row r="50" spans="4:14" x14ac:dyDescent="0.25">
      <c r="D50" s="2" t="s">
        <v>276</v>
      </c>
      <c r="E50" s="3">
        <v>20</v>
      </c>
      <c r="G50" s="2" t="s">
        <v>282</v>
      </c>
      <c r="H50" s="3">
        <v>17</v>
      </c>
      <c r="J50" s="2" t="s">
        <v>282</v>
      </c>
      <c r="K50" s="3">
        <v>37.882352941176471</v>
      </c>
      <c r="M50" s="2" t="s">
        <v>281</v>
      </c>
      <c r="N50" s="3">
        <v>1.5</v>
      </c>
    </row>
    <row r="51" spans="4:14" x14ac:dyDescent="0.25">
      <c r="D51" s="2" t="s">
        <v>277</v>
      </c>
      <c r="E51" s="3">
        <v>15</v>
      </c>
      <c r="G51" s="2" t="s">
        <v>283</v>
      </c>
      <c r="H51" s="3">
        <v>17</v>
      </c>
      <c r="J51" s="2" t="s">
        <v>283</v>
      </c>
      <c r="K51" s="3">
        <v>40.588235294117645</v>
      </c>
      <c r="M51" s="2" t="s">
        <v>282</v>
      </c>
      <c r="N51" s="3">
        <v>3.6666666666666665</v>
      </c>
    </row>
    <row r="52" spans="4:14" x14ac:dyDescent="0.25">
      <c r="D52" s="2" t="s">
        <v>278</v>
      </c>
      <c r="E52" s="3">
        <v>13</v>
      </c>
      <c r="G52" s="2" t="s">
        <v>284</v>
      </c>
      <c r="H52" s="3">
        <v>15</v>
      </c>
      <c r="J52" s="2" t="s">
        <v>284</v>
      </c>
      <c r="K52" s="3">
        <v>34.533333333333331</v>
      </c>
      <c r="M52" s="2" t="s">
        <v>283</v>
      </c>
      <c r="N52" s="3">
        <v>4.4285714285714288</v>
      </c>
    </row>
    <row r="53" spans="4:14" x14ac:dyDescent="0.25">
      <c r="D53" s="2" t="s">
        <v>279</v>
      </c>
      <c r="E53" s="3">
        <v>9</v>
      </c>
      <c r="G53" s="2" t="s">
        <v>285</v>
      </c>
      <c r="H53" s="3">
        <v>9</v>
      </c>
      <c r="J53" s="2" t="s">
        <v>285</v>
      </c>
      <c r="K53" s="3">
        <v>40.333333333333336</v>
      </c>
      <c r="M53" s="2" t="s">
        <v>284</v>
      </c>
      <c r="N53" s="3">
        <v>6</v>
      </c>
    </row>
    <row r="54" spans="4:14" x14ac:dyDescent="0.25">
      <c r="D54" s="2" t="s">
        <v>280</v>
      </c>
      <c r="E54" s="3">
        <v>19</v>
      </c>
      <c r="G54" s="2" t="s">
        <v>286</v>
      </c>
      <c r="H54" s="3">
        <v>14</v>
      </c>
      <c r="J54" s="2" t="s">
        <v>286</v>
      </c>
      <c r="K54" s="3">
        <v>35.285714285714285</v>
      </c>
      <c r="M54" s="2" t="s">
        <v>285</v>
      </c>
      <c r="N54" s="3">
        <v>2.6666666666666665</v>
      </c>
    </row>
    <row r="55" spans="4:14" x14ac:dyDescent="0.25">
      <c r="D55" s="2" t="s">
        <v>281</v>
      </c>
      <c r="E55" s="3">
        <v>14</v>
      </c>
      <c r="G55" s="2" t="s">
        <v>287</v>
      </c>
      <c r="H55" s="3">
        <v>22</v>
      </c>
      <c r="J55" s="2" t="s">
        <v>287</v>
      </c>
      <c r="K55" s="3">
        <v>35.5</v>
      </c>
      <c r="M55" s="2" t="s">
        <v>286</v>
      </c>
      <c r="N55" s="3">
        <v>7.5</v>
      </c>
    </row>
    <row r="56" spans="4:14" x14ac:dyDescent="0.25">
      <c r="D56" s="2" t="s">
        <v>282</v>
      </c>
      <c r="E56" s="3">
        <v>17</v>
      </c>
      <c r="G56" s="2" t="s">
        <v>288</v>
      </c>
      <c r="H56" s="3">
        <v>16</v>
      </c>
      <c r="J56" s="2" t="s">
        <v>288</v>
      </c>
      <c r="K56" s="3">
        <v>38.5625</v>
      </c>
      <c r="M56" s="2" t="s">
        <v>287</v>
      </c>
      <c r="N56" s="3">
        <v>4.5</v>
      </c>
    </row>
    <row r="57" spans="4:14" x14ac:dyDescent="0.25">
      <c r="D57" s="2" t="s">
        <v>283</v>
      </c>
      <c r="E57" s="3">
        <v>17</v>
      </c>
      <c r="G57" s="2" t="s">
        <v>289</v>
      </c>
      <c r="H57" s="3">
        <v>22</v>
      </c>
      <c r="J57" s="2" t="s">
        <v>289</v>
      </c>
      <c r="K57" s="3">
        <v>42.727272727272727</v>
      </c>
      <c r="M57" s="2" t="s">
        <v>288</v>
      </c>
      <c r="N57" s="3">
        <v>8</v>
      </c>
    </row>
    <row r="58" spans="4:14" x14ac:dyDescent="0.25">
      <c r="D58" s="2" t="s">
        <v>284</v>
      </c>
      <c r="E58" s="3">
        <v>15</v>
      </c>
      <c r="G58" s="2" t="s">
        <v>290</v>
      </c>
      <c r="H58" s="3">
        <v>12</v>
      </c>
      <c r="J58" s="2" t="s">
        <v>290</v>
      </c>
      <c r="K58" s="3">
        <v>37.416666666666664</v>
      </c>
      <c r="M58" s="2" t="s">
        <v>289</v>
      </c>
      <c r="N58" s="3">
        <v>4.3636363636363633</v>
      </c>
    </row>
    <row r="59" spans="4:14" x14ac:dyDescent="0.25">
      <c r="D59" s="2" t="s">
        <v>285</v>
      </c>
      <c r="E59" s="3">
        <v>9</v>
      </c>
      <c r="G59" s="2" t="s">
        <v>291</v>
      </c>
      <c r="H59" s="3">
        <v>20</v>
      </c>
      <c r="J59" s="2" t="s">
        <v>291</v>
      </c>
      <c r="K59" s="3">
        <v>32.450000000000003</v>
      </c>
      <c r="M59" s="2" t="s">
        <v>290</v>
      </c>
      <c r="N59" s="3">
        <v>0</v>
      </c>
    </row>
    <row r="60" spans="4:14" x14ac:dyDescent="0.25">
      <c r="D60" s="2" t="s">
        <v>286</v>
      </c>
      <c r="E60" s="3">
        <v>14</v>
      </c>
      <c r="G60" s="2" t="s">
        <v>292</v>
      </c>
      <c r="H60" s="3">
        <v>18</v>
      </c>
      <c r="J60" s="2" t="s">
        <v>292</v>
      </c>
      <c r="K60" s="3">
        <v>40.055555555555557</v>
      </c>
      <c r="M60" s="2" t="s">
        <v>291</v>
      </c>
      <c r="N60" s="3">
        <v>10</v>
      </c>
    </row>
    <row r="61" spans="4:14" x14ac:dyDescent="0.25">
      <c r="D61" s="2" t="s">
        <v>287</v>
      </c>
      <c r="E61" s="3">
        <v>22</v>
      </c>
      <c r="G61" s="2" t="s">
        <v>293</v>
      </c>
      <c r="H61" s="3">
        <v>18</v>
      </c>
      <c r="J61" s="2" t="s">
        <v>293</v>
      </c>
      <c r="K61" s="3">
        <v>31.666666666666668</v>
      </c>
      <c r="M61" s="2" t="s">
        <v>293</v>
      </c>
      <c r="N61" s="3">
        <v>6.75</v>
      </c>
    </row>
    <row r="62" spans="4:14" x14ac:dyDescent="0.25">
      <c r="D62" s="2" t="s">
        <v>288</v>
      </c>
      <c r="E62" s="3">
        <v>16</v>
      </c>
      <c r="G62" s="2" t="s">
        <v>294</v>
      </c>
      <c r="H62" s="3">
        <v>13</v>
      </c>
      <c r="J62" s="2" t="s">
        <v>294</v>
      </c>
      <c r="K62" s="3">
        <v>39.769230769230766</v>
      </c>
      <c r="M62" s="2" t="s">
        <v>294</v>
      </c>
      <c r="N62" s="3">
        <v>7</v>
      </c>
    </row>
    <row r="63" spans="4:14" x14ac:dyDescent="0.25">
      <c r="D63" s="2" t="s">
        <v>289</v>
      </c>
      <c r="E63" s="3">
        <v>22</v>
      </c>
      <c r="G63" s="2" t="s">
        <v>295</v>
      </c>
      <c r="H63" s="3">
        <v>15</v>
      </c>
      <c r="J63" s="2" t="s">
        <v>295</v>
      </c>
      <c r="K63" s="3">
        <v>36.733333333333334</v>
      </c>
      <c r="M63" s="2" t="s">
        <v>295</v>
      </c>
      <c r="N63" s="3">
        <v>3.3333333333333335</v>
      </c>
    </row>
    <row r="64" spans="4:14" x14ac:dyDescent="0.25">
      <c r="D64" s="2" t="s">
        <v>290</v>
      </c>
      <c r="E64" s="3">
        <v>12</v>
      </c>
      <c r="G64" s="2" t="s">
        <v>296</v>
      </c>
      <c r="H64" s="3">
        <v>19</v>
      </c>
      <c r="J64" s="2" t="s">
        <v>296</v>
      </c>
      <c r="K64" s="3">
        <v>34.526315789473685</v>
      </c>
      <c r="M64" s="2" t="s">
        <v>296</v>
      </c>
      <c r="N64" s="3">
        <v>7.2</v>
      </c>
    </row>
    <row r="65" spans="4:14" x14ac:dyDescent="0.25">
      <c r="D65" s="2" t="s">
        <v>291</v>
      </c>
      <c r="E65" s="3">
        <v>20</v>
      </c>
      <c r="G65" s="2" t="s">
        <v>297</v>
      </c>
      <c r="H65" s="3">
        <v>24</v>
      </c>
      <c r="J65" s="2" t="s">
        <v>297</v>
      </c>
      <c r="K65" s="3">
        <v>33.708333333333336</v>
      </c>
      <c r="M65" s="2" t="s">
        <v>297</v>
      </c>
      <c r="N65" s="3">
        <v>6</v>
      </c>
    </row>
    <row r="66" spans="4:14" x14ac:dyDescent="0.25">
      <c r="D66" s="2" t="s">
        <v>292</v>
      </c>
      <c r="E66" s="3">
        <v>18</v>
      </c>
      <c r="G66" s="2" t="s">
        <v>298</v>
      </c>
      <c r="H66" s="3">
        <v>24</v>
      </c>
      <c r="J66" s="2" t="s">
        <v>298</v>
      </c>
      <c r="K66" s="3">
        <v>36.291666666666664</v>
      </c>
      <c r="M66" s="2" t="s">
        <v>298</v>
      </c>
      <c r="N66" s="3">
        <v>1.5</v>
      </c>
    </row>
    <row r="67" spans="4:14" x14ac:dyDescent="0.25">
      <c r="D67" s="2" t="s">
        <v>293</v>
      </c>
      <c r="E67" s="3">
        <v>18</v>
      </c>
      <c r="G67" s="2" t="s">
        <v>299</v>
      </c>
      <c r="H67" s="3">
        <v>14</v>
      </c>
      <c r="J67" s="2" t="s">
        <v>299</v>
      </c>
      <c r="K67" s="3">
        <v>35.071428571428569</v>
      </c>
      <c r="M67" s="2" t="s">
        <v>299</v>
      </c>
      <c r="N67" s="3">
        <v>2.75</v>
      </c>
    </row>
    <row r="68" spans="4:14" x14ac:dyDescent="0.25">
      <c r="D68" s="2" t="s">
        <v>294</v>
      </c>
      <c r="E68" s="3">
        <v>13</v>
      </c>
      <c r="G68" s="2" t="s">
        <v>300</v>
      </c>
      <c r="H68" s="3">
        <v>14</v>
      </c>
      <c r="J68" s="2" t="s">
        <v>300</v>
      </c>
      <c r="K68" s="3">
        <v>31.571428571428573</v>
      </c>
      <c r="M68" s="2" t="s">
        <v>300</v>
      </c>
      <c r="N68" s="3">
        <v>5</v>
      </c>
    </row>
    <row r="69" spans="4:14" x14ac:dyDescent="0.25">
      <c r="D69" s="2" t="s">
        <v>295</v>
      </c>
      <c r="E69" s="3">
        <v>15</v>
      </c>
      <c r="G69" s="2" t="s">
        <v>301</v>
      </c>
      <c r="H69" s="3">
        <v>16</v>
      </c>
      <c r="J69" s="2" t="s">
        <v>301</v>
      </c>
      <c r="K69" s="3">
        <v>31.8125</v>
      </c>
      <c r="M69" s="2" t="s">
        <v>301</v>
      </c>
      <c r="N69" s="3">
        <v>5.5</v>
      </c>
    </row>
    <row r="70" spans="4:14" x14ac:dyDescent="0.25">
      <c r="D70" s="2" t="s">
        <v>296</v>
      </c>
      <c r="E70" s="3">
        <v>19</v>
      </c>
      <c r="G70" s="2" t="s">
        <v>302</v>
      </c>
      <c r="H70" s="3">
        <v>26</v>
      </c>
      <c r="J70" s="2" t="s">
        <v>302</v>
      </c>
      <c r="K70" s="3">
        <v>36.846153846153847</v>
      </c>
      <c r="M70" s="2" t="s">
        <v>302</v>
      </c>
      <c r="N70" s="3">
        <v>5.0909090909090908</v>
      </c>
    </row>
    <row r="71" spans="4:14" x14ac:dyDescent="0.25">
      <c r="D71" s="2" t="s">
        <v>297</v>
      </c>
      <c r="E71" s="3">
        <v>24</v>
      </c>
      <c r="G71" s="2" t="s">
        <v>303</v>
      </c>
      <c r="H71" s="3">
        <v>14</v>
      </c>
      <c r="J71" s="2" t="s">
        <v>303</v>
      </c>
      <c r="K71" s="3">
        <v>34.071428571428569</v>
      </c>
      <c r="M71" s="2" t="s">
        <v>303</v>
      </c>
      <c r="N71" s="3">
        <v>7.666666666666667</v>
      </c>
    </row>
    <row r="72" spans="4:14" x14ac:dyDescent="0.25">
      <c r="D72" s="2" t="s">
        <v>298</v>
      </c>
      <c r="E72" s="3">
        <v>24</v>
      </c>
      <c r="G72" s="2" t="s">
        <v>304</v>
      </c>
      <c r="H72" s="3">
        <v>22</v>
      </c>
      <c r="J72" s="2" t="s">
        <v>304</v>
      </c>
      <c r="K72" s="3">
        <v>33</v>
      </c>
      <c r="M72" s="2" t="s">
        <v>304</v>
      </c>
      <c r="N72" s="3">
        <v>3.5</v>
      </c>
    </row>
    <row r="73" spans="4:14" x14ac:dyDescent="0.25">
      <c r="D73" s="2" t="s">
        <v>299</v>
      </c>
      <c r="E73" s="3">
        <v>14</v>
      </c>
      <c r="G73" s="2" t="s">
        <v>305</v>
      </c>
      <c r="H73" s="3">
        <v>18</v>
      </c>
      <c r="J73" s="2" t="s">
        <v>305</v>
      </c>
      <c r="K73" s="3">
        <v>40.222222222222221</v>
      </c>
      <c r="M73" s="2" t="s">
        <v>305</v>
      </c>
      <c r="N73" s="3">
        <v>3.6666666666666665</v>
      </c>
    </row>
    <row r="74" spans="4:14" x14ac:dyDescent="0.25">
      <c r="D74" s="2" t="s">
        <v>300</v>
      </c>
      <c r="E74" s="3">
        <v>14</v>
      </c>
      <c r="G74" s="2" t="s">
        <v>306</v>
      </c>
      <c r="H74" s="3">
        <v>20</v>
      </c>
      <c r="J74" s="2" t="s">
        <v>306</v>
      </c>
      <c r="K74" s="3">
        <v>42.05</v>
      </c>
      <c r="M74" s="2" t="s">
        <v>306</v>
      </c>
      <c r="N74" s="3">
        <v>3.8</v>
      </c>
    </row>
    <row r="75" spans="4:14" x14ac:dyDescent="0.25">
      <c r="D75" s="2" t="s">
        <v>301</v>
      </c>
      <c r="E75" s="3">
        <v>16</v>
      </c>
      <c r="G75" s="2" t="s">
        <v>307</v>
      </c>
      <c r="H75" s="3">
        <v>13</v>
      </c>
      <c r="J75" s="2" t="s">
        <v>307</v>
      </c>
      <c r="K75" s="3">
        <v>42.615384615384613</v>
      </c>
      <c r="M75" s="2" t="s">
        <v>307</v>
      </c>
      <c r="N75" s="3">
        <v>1</v>
      </c>
    </row>
    <row r="76" spans="4:14" x14ac:dyDescent="0.25">
      <c r="D76" s="2" t="s">
        <v>302</v>
      </c>
      <c r="E76" s="3">
        <v>26</v>
      </c>
      <c r="G76" s="2" t="s">
        <v>308</v>
      </c>
      <c r="H76" s="3">
        <v>13</v>
      </c>
      <c r="J76" s="2" t="s">
        <v>308</v>
      </c>
      <c r="K76" s="3">
        <v>40.46153846153846</v>
      </c>
      <c r="M76" s="2" t="s">
        <v>308</v>
      </c>
      <c r="N76" s="3">
        <v>7</v>
      </c>
    </row>
    <row r="77" spans="4:14" x14ac:dyDescent="0.25">
      <c r="D77" s="2" t="s">
        <v>303</v>
      </c>
      <c r="E77" s="3">
        <v>14</v>
      </c>
      <c r="G77" s="2" t="s">
        <v>309</v>
      </c>
      <c r="H77" s="3">
        <v>14</v>
      </c>
      <c r="J77" s="2" t="s">
        <v>309</v>
      </c>
      <c r="K77" s="3">
        <v>34.071428571428569</v>
      </c>
      <c r="M77" s="2" t="s">
        <v>309</v>
      </c>
      <c r="N77" s="3">
        <v>5</v>
      </c>
    </row>
    <row r="78" spans="4:14" x14ac:dyDescent="0.25">
      <c r="D78" s="2" t="s">
        <v>304</v>
      </c>
      <c r="E78" s="3">
        <v>22</v>
      </c>
      <c r="G78" s="2" t="s">
        <v>310</v>
      </c>
      <c r="H78" s="3">
        <v>13</v>
      </c>
      <c r="J78" s="2" t="s">
        <v>310</v>
      </c>
      <c r="K78" s="3">
        <v>33.92307692307692</v>
      </c>
      <c r="M78" s="2" t="s">
        <v>310</v>
      </c>
      <c r="N78" s="3">
        <v>4.25</v>
      </c>
    </row>
    <row r="79" spans="4:14" x14ac:dyDescent="0.25">
      <c r="D79" s="2" t="s">
        <v>305</v>
      </c>
      <c r="E79" s="3">
        <v>18</v>
      </c>
      <c r="G79" s="2" t="s">
        <v>311</v>
      </c>
      <c r="H79" s="3">
        <v>18</v>
      </c>
      <c r="J79" s="2" t="s">
        <v>311</v>
      </c>
      <c r="K79" s="3">
        <v>43.166666666666664</v>
      </c>
      <c r="M79" s="2" t="s">
        <v>311</v>
      </c>
      <c r="N79" s="3">
        <v>4</v>
      </c>
    </row>
    <row r="80" spans="4:14" x14ac:dyDescent="0.25">
      <c r="D80" s="2" t="s">
        <v>306</v>
      </c>
      <c r="E80" s="3">
        <v>20</v>
      </c>
      <c r="G80" s="2" t="s">
        <v>312</v>
      </c>
      <c r="H80" s="3">
        <v>12</v>
      </c>
      <c r="J80" s="2" t="s">
        <v>312</v>
      </c>
      <c r="K80" s="3">
        <v>42.25</v>
      </c>
      <c r="M80" s="2" t="s">
        <v>312</v>
      </c>
      <c r="N80" s="3">
        <v>7.333333333333333</v>
      </c>
    </row>
    <row r="81" spans="4:14" x14ac:dyDescent="0.25">
      <c r="D81" s="2" t="s">
        <v>307</v>
      </c>
      <c r="E81" s="3">
        <v>13</v>
      </c>
      <c r="G81" s="2" t="s">
        <v>313</v>
      </c>
      <c r="H81" s="3">
        <v>11</v>
      </c>
      <c r="J81" s="2" t="s">
        <v>313</v>
      </c>
      <c r="K81" s="3">
        <v>44.090909090909093</v>
      </c>
      <c r="M81" s="2" t="s">
        <v>313</v>
      </c>
      <c r="N81" s="3">
        <v>9</v>
      </c>
    </row>
    <row r="82" spans="4:14" x14ac:dyDescent="0.25">
      <c r="D82" s="2" t="s">
        <v>308</v>
      </c>
      <c r="E82" s="3">
        <v>13</v>
      </c>
      <c r="G82" s="2" t="s">
        <v>314</v>
      </c>
      <c r="H82" s="3">
        <v>14</v>
      </c>
      <c r="J82" s="2" t="s">
        <v>314</v>
      </c>
      <c r="K82" s="3">
        <v>39</v>
      </c>
      <c r="M82" s="2" t="s">
        <v>314</v>
      </c>
      <c r="N82" s="3">
        <v>5.25</v>
      </c>
    </row>
    <row r="83" spans="4:14" x14ac:dyDescent="0.25">
      <c r="D83" s="2" t="s">
        <v>309</v>
      </c>
      <c r="E83" s="3">
        <v>14</v>
      </c>
      <c r="G83" s="2" t="s">
        <v>315</v>
      </c>
      <c r="H83" s="3">
        <v>12</v>
      </c>
      <c r="J83" s="2" t="s">
        <v>315</v>
      </c>
      <c r="K83" s="3">
        <v>31.25</v>
      </c>
      <c r="M83" s="2" t="s">
        <v>315</v>
      </c>
      <c r="N83" s="3">
        <v>6.6</v>
      </c>
    </row>
    <row r="84" spans="4:14" x14ac:dyDescent="0.25">
      <c r="D84" s="2" t="s">
        <v>310</v>
      </c>
      <c r="E84" s="3">
        <v>13</v>
      </c>
      <c r="G84" s="2" t="s">
        <v>316</v>
      </c>
      <c r="H84" s="3">
        <v>16</v>
      </c>
      <c r="J84" s="2" t="s">
        <v>316</v>
      </c>
      <c r="K84" s="3">
        <v>28.5</v>
      </c>
      <c r="M84" s="2" t="s">
        <v>316</v>
      </c>
      <c r="N84" s="3">
        <v>6.25</v>
      </c>
    </row>
    <row r="85" spans="4:14" x14ac:dyDescent="0.25">
      <c r="D85" s="2" t="s">
        <v>311</v>
      </c>
      <c r="E85" s="3">
        <v>18</v>
      </c>
      <c r="G85" s="2" t="s">
        <v>317</v>
      </c>
      <c r="H85" s="3">
        <v>16</v>
      </c>
      <c r="J85" s="2" t="s">
        <v>317</v>
      </c>
      <c r="K85" s="3">
        <v>34.0625</v>
      </c>
      <c r="M85" s="2" t="s">
        <v>317</v>
      </c>
      <c r="N85" s="3">
        <v>6.333333333333333</v>
      </c>
    </row>
    <row r="86" spans="4:14" x14ac:dyDescent="0.25">
      <c r="D86" s="2" t="s">
        <v>312</v>
      </c>
      <c r="E86" s="3">
        <v>12</v>
      </c>
      <c r="G86" s="2" t="s">
        <v>318</v>
      </c>
      <c r="H86" s="3">
        <v>15</v>
      </c>
      <c r="J86" s="2" t="s">
        <v>318</v>
      </c>
      <c r="K86" s="3">
        <v>25.2</v>
      </c>
      <c r="M86" s="2" t="s">
        <v>318</v>
      </c>
      <c r="N86" s="3">
        <v>7</v>
      </c>
    </row>
    <row r="87" spans="4:14" x14ac:dyDescent="0.25">
      <c r="D87" s="2" t="s">
        <v>313</v>
      </c>
      <c r="E87" s="3">
        <v>11</v>
      </c>
      <c r="G87" s="2" t="s">
        <v>319</v>
      </c>
      <c r="H87" s="3">
        <v>22</v>
      </c>
      <c r="J87" s="2" t="s">
        <v>319</v>
      </c>
      <c r="K87" s="3">
        <v>35.863636363636367</v>
      </c>
      <c r="M87" s="2" t="s">
        <v>319</v>
      </c>
      <c r="N87" s="3">
        <v>5.666666666666667</v>
      </c>
    </row>
    <row r="88" spans="4:14" x14ac:dyDescent="0.25">
      <c r="D88" s="2" t="s">
        <v>314</v>
      </c>
      <c r="E88" s="3">
        <v>14</v>
      </c>
      <c r="G88" s="2" t="s">
        <v>320</v>
      </c>
      <c r="H88" s="3">
        <v>18</v>
      </c>
      <c r="J88" s="2" t="s">
        <v>320</v>
      </c>
      <c r="K88" s="3">
        <v>39.833333333333336</v>
      </c>
      <c r="M88" s="2" t="s">
        <v>320</v>
      </c>
      <c r="N88" s="3">
        <v>3.3333333333333335</v>
      </c>
    </row>
    <row r="89" spans="4:14" x14ac:dyDescent="0.25">
      <c r="D89" s="2" t="s">
        <v>315</v>
      </c>
      <c r="E89" s="3">
        <v>12</v>
      </c>
      <c r="G89" s="2" t="s">
        <v>321</v>
      </c>
      <c r="H89" s="3">
        <v>10</v>
      </c>
      <c r="J89" s="2" t="s">
        <v>321</v>
      </c>
      <c r="K89" s="3">
        <v>37</v>
      </c>
      <c r="M89" s="2" t="s">
        <v>321</v>
      </c>
      <c r="N89" s="3">
        <v>4.75</v>
      </c>
    </row>
    <row r="90" spans="4:14" x14ac:dyDescent="0.25">
      <c r="D90" s="2" t="s">
        <v>316</v>
      </c>
      <c r="E90" s="3">
        <v>16</v>
      </c>
      <c r="G90" s="2" t="s">
        <v>322</v>
      </c>
      <c r="H90" s="3">
        <v>17</v>
      </c>
      <c r="J90" s="2" t="s">
        <v>322</v>
      </c>
      <c r="K90" s="3">
        <v>39.411764705882355</v>
      </c>
      <c r="M90" s="2" t="s">
        <v>322</v>
      </c>
      <c r="N90" s="3">
        <v>2</v>
      </c>
    </row>
    <row r="91" spans="4:14" x14ac:dyDescent="0.25">
      <c r="D91" s="2" t="s">
        <v>317</v>
      </c>
      <c r="E91" s="3">
        <v>16</v>
      </c>
      <c r="G91" s="2" t="s">
        <v>323</v>
      </c>
      <c r="H91" s="3">
        <v>17</v>
      </c>
      <c r="J91" s="2" t="s">
        <v>323</v>
      </c>
      <c r="K91" s="3">
        <v>30.294117647058822</v>
      </c>
      <c r="M91" s="2" t="s">
        <v>323</v>
      </c>
      <c r="N91" s="3">
        <v>9.25</v>
      </c>
    </row>
    <row r="92" spans="4:14" x14ac:dyDescent="0.25">
      <c r="D92" s="2" t="s">
        <v>318</v>
      </c>
      <c r="E92" s="3">
        <v>15</v>
      </c>
      <c r="G92" s="2" t="s">
        <v>324</v>
      </c>
      <c r="H92" s="3">
        <v>12</v>
      </c>
      <c r="J92" s="2" t="s">
        <v>324</v>
      </c>
      <c r="K92" s="3">
        <v>32.666666666666664</v>
      </c>
      <c r="M92" s="2" t="s">
        <v>324</v>
      </c>
      <c r="N92" s="3">
        <v>2.6666666666666665</v>
      </c>
    </row>
    <row r="93" spans="4:14" x14ac:dyDescent="0.25">
      <c r="D93" s="2" t="s">
        <v>319</v>
      </c>
      <c r="E93" s="3">
        <v>22</v>
      </c>
      <c r="G93" s="2" t="s">
        <v>325</v>
      </c>
      <c r="H93" s="3">
        <v>14</v>
      </c>
      <c r="J93" s="2" t="s">
        <v>325</v>
      </c>
      <c r="K93" s="3">
        <v>30.571428571428573</v>
      </c>
      <c r="M93" s="2" t="s">
        <v>325</v>
      </c>
      <c r="N93" s="3">
        <v>4</v>
      </c>
    </row>
    <row r="94" spans="4:14" x14ac:dyDescent="0.25">
      <c r="D94" s="2" t="s">
        <v>320</v>
      </c>
      <c r="E94" s="3">
        <v>18</v>
      </c>
      <c r="G94" s="2" t="s">
        <v>326</v>
      </c>
      <c r="H94" s="3">
        <v>18</v>
      </c>
      <c r="J94" s="2" t="s">
        <v>326</v>
      </c>
      <c r="K94" s="3">
        <v>39.055555555555557</v>
      </c>
      <c r="M94" s="2" t="s">
        <v>326</v>
      </c>
      <c r="N94" s="3">
        <v>8.75</v>
      </c>
    </row>
    <row r="95" spans="4:14" x14ac:dyDescent="0.25">
      <c r="D95" s="2" t="s">
        <v>321</v>
      </c>
      <c r="E95" s="3">
        <v>10</v>
      </c>
      <c r="G95" s="2" t="s">
        <v>105</v>
      </c>
      <c r="H95" s="3">
        <v>31</v>
      </c>
      <c r="J95" s="2" t="s">
        <v>105</v>
      </c>
      <c r="K95" s="3">
        <v>37.12903225806452</v>
      </c>
      <c r="M95" s="2" t="s">
        <v>105</v>
      </c>
      <c r="N95" s="3">
        <v>3.8</v>
      </c>
    </row>
    <row r="96" spans="4:14" x14ac:dyDescent="0.25">
      <c r="D96" s="2" t="s">
        <v>322</v>
      </c>
      <c r="E96" s="3">
        <v>17</v>
      </c>
      <c r="G96" s="2" t="s">
        <v>106</v>
      </c>
      <c r="H96" s="3">
        <v>32</v>
      </c>
      <c r="J96" s="2" t="s">
        <v>106</v>
      </c>
      <c r="K96" s="3">
        <v>35.34375</v>
      </c>
      <c r="M96" s="2" t="s">
        <v>106</v>
      </c>
      <c r="N96" s="3">
        <v>6</v>
      </c>
    </row>
    <row r="97" spans="4:14" x14ac:dyDescent="0.25">
      <c r="D97" s="2" t="s">
        <v>323</v>
      </c>
      <c r="E97" s="3">
        <v>17</v>
      </c>
      <c r="G97" s="2" t="s">
        <v>107</v>
      </c>
      <c r="H97" s="3">
        <v>31</v>
      </c>
      <c r="J97" s="2" t="s">
        <v>107</v>
      </c>
      <c r="K97" s="3">
        <v>33.064516129032256</v>
      </c>
      <c r="M97" s="2" t="s">
        <v>107</v>
      </c>
      <c r="N97" s="3">
        <v>4.5999999999999996</v>
      </c>
    </row>
    <row r="98" spans="4:14" x14ac:dyDescent="0.25">
      <c r="D98" s="2" t="s">
        <v>324</v>
      </c>
      <c r="E98" s="3">
        <v>12</v>
      </c>
      <c r="G98" s="2" t="s">
        <v>108</v>
      </c>
      <c r="H98" s="3">
        <v>29</v>
      </c>
      <c r="J98" s="2" t="s">
        <v>108</v>
      </c>
      <c r="K98" s="3">
        <v>33.482758620689658</v>
      </c>
      <c r="M98" s="2" t="s">
        <v>108</v>
      </c>
      <c r="N98" s="3">
        <v>5.7142857142857144</v>
      </c>
    </row>
    <row r="99" spans="4:14" x14ac:dyDescent="0.25">
      <c r="D99" s="2" t="s">
        <v>325</v>
      </c>
      <c r="E99" s="3">
        <v>14</v>
      </c>
      <c r="G99" s="2" t="s">
        <v>109</v>
      </c>
      <c r="H99" s="3">
        <v>34</v>
      </c>
      <c r="J99" s="2" t="s">
        <v>109</v>
      </c>
      <c r="K99" s="3">
        <v>34</v>
      </c>
      <c r="M99" s="2" t="s">
        <v>109</v>
      </c>
      <c r="N99" s="3">
        <v>4.666666666666667</v>
      </c>
    </row>
    <row r="100" spans="4:14" x14ac:dyDescent="0.25">
      <c r="D100" s="2" t="s">
        <v>326</v>
      </c>
      <c r="E100" s="3">
        <v>18</v>
      </c>
      <c r="G100" s="2" t="s">
        <v>110</v>
      </c>
      <c r="H100" s="3">
        <v>31</v>
      </c>
      <c r="J100" s="2" t="s">
        <v>110</v>
      </c>
      <c r="K100" s="3">
        <v>34.354838709677416</v>
      </c>
      <c r="M100" s="2" t="s">
        <v>110</v>
      </c>
      <c r="N100" s="3">
        <v>3.4</v>
      </c>
    </row>
    <row r="101" spans="4:14" x14ac:dyDescent="0.25">
      <c r="D101" s="2" t="s">
        <v>105</v>
      </c>
      <c r="E101" s="3">
        <v>31</v>
      </c>
      <c r="G101" s="2" t="s">
        <v>111</v>
      </c>
      <c r="H101" s="3">
        <v>27</v>
      </c>
      <c r="J101" s="2" t="s">
        <v>111</v>
      </c>
      <c r="K101" s="3">
        <v>32.666666666666664</v>
      </c>
      <c r="M101" s="2" t="s">
        <v>111</v>
      </c>
      <c r="N101" s="3">
        <v>5</v>
      </c>
    </row>
    <row r="102" spans="4:14" x14ac:dyDescent="0.25">
      <c r="D102" s="2" t="s">
        <v>106</v>
      </c>
      <c r="E102" s="3">
        <v>32</v>
      </c>
      <c r="G102" s="2" t="s">
        <v>112</v>
      </c>
      <c r="H102" s="3">
        <v>32</v>
      </c>
      <c r="J102" s="2" t="s">
        <v>112</v>
      </c>
      <c r="K102" s="3">
        <v>30.3125</v>
      </c>
      <c r="M102" s="2" t="s">
        <v>112</v>
      </c>
      <c r="N102" s="3">
        <v>5.8571428571428568</v>
      </c>
    </row>
    <row r="103" spans="4:14" x14ac:dyDescent="0.25">
      <c r="D103" s="2" t="s">
        <v>107</v>
      </c>
      <c r="E103" s="3">
        <v>31</v>
      </c>
      <c r="G103" s="2" t="s">
        <v>113</v>
      </c>
      <c r="H103" s="3">
        <v>27</v>
      </c>
      <c r="J103" s="2" t="s">
        <v>113</v>
      </c>
      <c r="K103" s="3">
        <v>33.925925925925924</v>
      </c>
      <c r="M103" s="2" t="s">
        <v>113</v>
      </c>
      <c r="N103" s="3">
        <v>4.8888888888888893</v>
      </c>
    </row>
    <row r="104" spans="4:14" x14ac:dyDescent="0.25">
      <c r="D104" s="2" t="s">
        <v>108</v>
      </c>
      <c r="E104" s="3">
        <v>29</v>
      </c>
      <c r="G104" s="2" t="s">
        <v>114</v>
      </c>
      <c r="H104" s="3">
        <v>27</v>
      </c>
      <c r="J104" s="2" t="s">
        <v>114</v>
      </c>
      <c r="K104" s="3">
        <v>32.037037037037038</v>
      </c>
      <c r="M104" s="2" t="s">
        <v>114</v>
      </c>
      <c r="N104" s="3">
        <v>6</v>
      </c>
    </row>
    <row r="105" spans="4:14" x14ac:dyDescent="0.25">
      <c r="D105" s="2" t="s">
        <v>109</v>
      </c>
      <c r="E105" s="3">
        <v>34</v>
      </c>
      <c r="G105" s="2" t="s">
        <v>115</v>
      </c>
      <c r="H105" s="3">
        <v>33</v>
      </c>
      <c r="J105" s="2" t="s">
        <v>115</v>
      </c>
      <c r="K105" s="3">
        <v>38.606060606060609</v>
      </c>
      <c r="M105" s="2" t="s">
        <v>115</v>
      </c>
      <c r="N105" s="3">
        <v>4.7142857142857144</v>
      </c>
    </row>
    <row r="106" spans="4:14" x14ac:dyDescent="0.25">
      <c r="D106" s="2" t="s">
        <v>110</v>
      </c>
      <c r="E106" s="3">
        <v>31</v>
      </c>
      <c r="G106" s="2" t="s">
        <v>116</v>
      </c>
      <c r="H106" s="3">
        <v>42</v>
      </c>
      <c r="J106" s="2" t="s">
        <v>116</v>
      </c>
      <c r="K106" s="3">
        <v>36.761904761904759</v>
      </c>
      <c r="M106" s="2" t="s">
        <v>116</v>
      </c>
      <c r="N106" s="3">
        <v>7.1428571428571432</v>
      </c>
    </row>
    <row r="107" spans="4:14" x14ac:dyDescent="0.25">
      <c r="D107" s="2" t="s">
        <v>111</v>
      </c>
      <c r="E107" s="3">
        <v>27</v>
      </c>
      <c r="G107" s="2" t="s">
        <v>117</v>
      </c>
      <c r="H107" s="3">
        <v>25</v>
      </c>
      <c r="J107" s="2" t="s">
        <v>117</v>
      </c>
      <c r="K107" s="3">
        <v>28.52</v>
      </c>
      <c r="M107" s="2" t="s">
        <v>117</v>
      </c>
      <c r="N107" s="3">
        <v>4.333333333333333</v>
      </c>
    </row>
    <row r="108" spans="4:14" x14ac:dyDescent="0.25">
      <c r="D108" s="2" t="s">
        <v>112</v>
      </c>
      <c r="E108" s="3">
        <v>32</v>
      </c>
      <c r="G108" s="2" t="s">
        <v>118</v>
      </c>
      <c r="H108" s="3">
        <v>34</v>
      </c>
      <c r="J108" s="2" t="s">
        <v>118</v>
      </c>
      <c r="K108" s="3">
        <v>33.882352941176471</v>
      </c>
      <c r="M108" s="2" t="s">
        <v>118</v>
      </c>
      <c r="N108" s="3">
        <v>6.7333333333333334</v>
      </c>
    </row>
    <row r="109" spans="4:14" x14ac:dyDescent="0.25">
      <c r="D109" s="2" t="s">
        <v>113</v>
      </c>
      <c r="E109" s="3">
        <v>27</v>
      </c>
      <c r="G109" s="2" t="s">
        <v>119</v>
      </c>
      <c r="H109" s="3">
        <v>32</v>
      </c>
      <c r="J109" s="2" t="s">
        <v>119</v>
      </c>
      <c r="K109" s="3">
        <v>39.625</v>
      </c>
      <c r="M109" s="2" t="s">
        <v>119</v>
      </c>
      <c r="N109" s="3">
        <v>5.2857142857142856</v>
      </c>
    </row>
    <row r="110" spans="4:14" x14ac:dyDescent="0.25">
      <c r="D110" s="2" t="s">
        <v>114</v>
      </c>
      <c r="E110" s="3">
        <v>27</v>
      </c>
      <c r="G110" s="2" t="s">
        <v>120</v>
      </c>
      <c r="H110" s="3">
        <v>34</v>
      </c>
      <c r="J110" s="2" t="s">
        <v>120</v>
      </c>
      <c r="K110" s="3">
        <v>31.823529411764707</v>
      </c>
      <c r="M110" s="2" t="s">
        <v>120</v>
      </c>
      <c r="N110" s="3">
        <v>4.916666666666667</v>
      </c>
    </row>
    <row r="111" spans="4:14" x14ac:dyDescent="0.25">
      <c r="D111" s="2" t="s">
        <v>115</v>
      </c>
      <c r="E111" s="3">
        <v>33</v>
      </c>
      <c r="G111" s="2" t="s">
        <v>121</v>
      </c>
      <c r="H111" s="3">
        <v>26</v>
      </c>
      <c r="J111" s="2" t="s">
        <v>121</v>
      </c>
      <c r="K111" s="3">
        <v>37.769230769230766</v>
      </c>
      <c r="M111" s="2" t="s">
        <v>121</v>
      </c>
      <c r="N111" s="3">
        <v>4.333333333333333</v>
      </c>
    </row>
    <row r="112" spans="4:14" x14ac:dyDescent="0.25">
      <c r="D112" s="2" t="s">
        <v>116</v>
      </c>
      <c r="E112" s="3">
        <v>42</v>
      </c>
      <c r="G112" s="2" t="s">
        <v>122</v>
      </c>
      <c r="H112" s="3">
        <v>36</v>
      </c>
      <c r="J112" s="2" t="s">
        <v>122</v>
      </c>
      <c r="K112" s="3">
        <v>38.055555555555557</v>
      </c>
      <c r="M112" s="2" t="s">
        <v>122</v>
      </c>
      <c r="N112" s="3">
        <v>5.333333333333333</v>
      </c>
    </row>
    <row r="113" spans="4:14" x14ac:dyDescent="0.25">
      <c r="D113" s="2" t="s">
        <v>117</v>
      </c>
      <c r="E113" s="3">
        <v>25</v>
      </c>
      <c r="G113" s="2" t="s">
        <v>123</v>
      </c>
      <c r="H113" s="3">
        <v>31</v>
      </c>
      <c r="J113" s="2" t="s">
        <v>123</v>
      </c>
      <c r="K113" s="3">
        <v>30.129032258064516</v>
      </c>
      <c r="M113" s="2" t="s">
        <v>123</v>
      </c>
      <c r="N113" s="3">
        <v>4.3636363636363633</v>
      </c>
    </row>
    <row r="114" spans="4:14" x14ac:dyDescent="0.25">
      <c r="D114" s="2" t="s">
        <v>118</v>
      </c>
      <c r="E114" s="3">
        <v>34</v>
      </c>
      <c r="G114" s="2" t="s">
        <v>124</v>
      </c>
      <c r="H114" s="3">
        <v>32</v>
      </c>
      <c r="J114" s="2" t="s">
        <v>124</v>
      </c>
      <c r="K114" s="3">
        <v>35.03125</v>
      </c>
      <c r="M114" s="2" t="s">
        <v>124</v>
      </c>
      <c r="N114" s="3">
        <v>2.9090909090909092</v>
      </c>
    </row>
    <row r="115" spans="4:14" x14ac:dyDescent="0.25">
      <c r="D115" s="2" t="s">
        <v>119</v>
      </c>
      <c r="E115" s="3">
        <v>32</v>
      </c>
      <c r="G115" s="2" t="s">
        <v>125</v>
      </c>
      <c r="H115" s="3">
        <v>33</v>
      </c>
      <c r="J115" s="2" t="s">
        <v>125</v>
      </c>
      <c r="K115" s="3">
        <v>35.303030303030305</v>
      </c>
      <c r="M115" s="2" t="s">
        <v>125</v>
      </c>
      <c r="N115" s="3">
        <v>4.5</v>
      </c>
    </row>
    <row r="116" spans="4:14" x14ac:dyDescent="0.25">
      <c r="D116" s="2" t="s">
        <v>120</v>
      </c>
      <c r="E116" s="3">
        <v>34</v>
      </c>
      <c r="G116" s="2" t="s">
        <v>126</v>
      </c>
      <c r="H116" s="3">
        <v>39</v>
      </c>
      <c r="J116" s="2" t="s">
        <v>126</v>
      </c>
      <c r="K116" s="3">
        <v>35.717948717948715</v>
      </c>
      <c r="M116" s="2" t="s">
        <v>126</v>
      </c>
      <c r="N116" s="3">
        <v>6.1</v>
      </c>
    </row>
    <row r="117" spans="4:14" x14ac:dyDescent="0.25">
      <c r="D117" s="2" t="s">
        <v>121</v>
      </c>
      <c r="E117" s="3">
        <v>26</v>
      </c>
      <c r="G117" s="2" t="s">
        <v>127</v>
      </c>
      <c r="H117" s="3">
        <v>27</v>
      </c>
      <c r="J117" s="2" t="s">
        <v>127</v>
      </c>
      <c r="K117" s="3">
        <v>41.407407407407405</v>
      </c>
      <c r="M117" s="2" t="s">
        <v>127</v>
      </c>
      <c r="N117" s="3">
        <v>6.666666666666667</v>
      </c>
    </row>
    <row r="118" spans="4:14" x14ac:dyDescent="0.25">
      <c r="D118" s="2" t="s">
        <v>122</v>
      </c>
      <c r="E118" s="3">
        <v>36</v>
      </c>
      <c r="G118" s="2" t="s">
        <v>128</v>
      </c>
      <c r="H118" s="3">
        <v>32</v>
      </c>
      <c r="J118" s="2" t="s">
        <v>128</v>
      </c>
      <c r="K118" s="3">
        <v>37.28125</v>
      </c>
      <c r="M118" s="2" t="s">
        <v>128</v>
      </c>
      <c r="N118" s="3">
        <v>5</v>
      </c>
    </row>
    <row r="119" spans="4:14" x14ac:dyDescent="0.25">
      <c r="D119" s="2" t="s">
        <v>123</v>
      </c>
      <c r="E119" s="3">
        <v>31</v>
      </c>
      <c r="G119" s="2" t="s">
        <v>129</v>
      </c>
      <c r="H119" s="3">
        <v>33</v>
      </c>
      <c r="J119" s="2" t="s">
        <v>129</v>
      </c>
      <c r="K119" s="3">
        <v>38.575757575757578</v>
      </c>
      <c r="M119" s="2" t="s">
        <v>129</v>
      </c>
      <c r="N119" s="3">
        <v>2.5555555555555554</v>
      </c>
    </row>
    <row r="120" spans="4:14" x14ac:dyDescent="0.25">
      <c r="D120" s="2" t="s">
        <v>124</v>
      </c>
      <c r="E120" s="3">
        <v>32</v>
      </c>
      <c r="G120" s="2" t="s">
        <v>130</v>
      </c>
      <c r="H120" s="3">
        <v>34</v>
      </c>
      <c r="J120" s="2" t="s">
        <v>130</v>
      </c>
      <c r="K120" s="3">
        <v>33.411764705882355</v>
      </c>
      <c r="M120" s="2" t="s">
        <v>130</v>
      </c>
      <c r="N120" s="3">
        <v>5.5714285714285712</v>
      </c>
    </row>
    <row r="121" spans="4:14" x14ac:dyDescent="0.25">
      <c r="D121" s="2" t="s">
        <v>125</v>
      </c>
      <c r="E121" s="3">
        <v>33</v>
      </c>
      <c r="G121" s="2" t="s">
        <v>131</v>
      </c>
      <c r="H121" s="3">
        <v>35</v>
      </c>
      <c r="J121" s="2" t="s">
        <v>131</v>
      </c>
      <c r="K121" s="3">
        <v>36.6</v>
      </c>
      <c r="M121" s="2" t="s">
        <v>131</v>
      </c>
      <c r="N121" s="3">
        <v>4.8461538461538458</v>
      </c>
    </row>
    <row r="122" spans="4:14" x14ac:dyDescent="0.25">
      <c r="D122" s="2" t="s">
        <v>126</v>
      </c>
      <c r="E122" s="3">
        <v>39</v>
      </c>
      <c r="G122" s="2" t="s">
        <v>132</v>
      </c>
      <c r="H122" s="3">
        <v>32</v>
      </c>
      <c r="J122" s="2" t="s">
        <v>132</v>
      </c>
      <c r="K122" s="3">
        <v>31.875</v>
      </c>
      <c r="M122" s="2" t="s">
        <v>132</v>
      </c>
      <c r="N122" s="3">
        <v>4.8888888888888893</v>
      </c>
    </row>
    <row r="123" spans="4:14" x14ac:dyDescent="0.25">
      <c r="D123" s="2" t="s">
        <v>127</v>
      </c>
      <c r="E123" s="3">
        <v>27</v>
      </c>
      <c r="G123" s="2" t="s">
        <v>133</v>
      </c>
      <c r="H123" s="3">
        <v>27</v>
      </c>
      <c r="J123" s="2" t="s">
        <v>133</v>
      </c>
      <c r="K123" s="3">
        <v>36.925925925925924</v>
      </c>
      <c r="M123" s="2" t="s">
        <v>133</v>
      </c>
      <c r="N123" s="3">
        <v>4.8</v>
      </c>
    </row>
    <row r="124" spans="4:14" x14ac:dyDescent="0.25">
      <c r="D124" s="2" t="s">
        <v>128</v>
      </c>
      <c r="E124" s="3">
        <v>32</v>
      </c>
      <c r="G124" s="2" t="s">
        <v>134</v>
      </c>
      <c r="H124" s="3">
        <v>30</v>
      </c>
      <c r="J124" s="2" t="s">
        <v>134</v>
      </c>
      <c r="K124" s="3">
        <v>33.533333333333331</v>
      </c>
      <c r="M124" s="2" t="s">
        <v>134</v>
      </c>
      <c r="N124" s="3">
        <v>5.375</v>
      </c>
    </row>
    <row r="125" spans="4:14" x14ac:dyDescent="0.25">
      <c r="D125" s="2" t="s">
        <v>129</v>
      </c>
      <c r="E125" s="3">
        <v>33</v>
      </c>
      <c r="G125" s="2" t="s">
        <v>135</v>
      </c>
      <c r="H125" s="3">
        <v>34</v>
      </c>
      <c r="J125" s="2" t="s">
        <v>135</v>
      </c>
      <c r="K125" s="3">
        <v>33.205882352941174</v>
      </c>
      <c r="M125" s="2" t="s">
        <v>135</v>
      </c>
      <c r="N125" s="3">
        <v>6.8571428571428568</v>
      </c>
    </row>
    <row r="126" spans="4:14" x14ac:dyDescent="0.25">
      <c r="D126" s="2" t="s">
        <v>130</v>
      </c>
      <c r="E126" s="3">
        <v>34</v>
      </c>
      <c r="G126" s="2" t="s">
        <v>136</v>
      </c>
      <c r="H126" s="3">
        <v>37</v>
      </c>
      <c r="J126" s="2" t="s">
        <v>136</v>
      </c>
      <c r="K126" s="3">
        <v>30.135135135135137</v>
      </c>
      <c r="M126" s="2" t="s">
        <v>136</v>
      </c>
      <c r="N126" s="3">
        <v>4.3636363636363633</v>
      </c>
    </row>
    <row r="127" spans="4:14" x14ac:dyDescent="0.25">
      <c r="D127" s="2" t="s">
        <v>131</v>
      </c>
      <c r="E127" s="3">
        <v>35</v>
      </c>
      <c r="G127" s="2" t="s">
        <v>137</v>
      </c>
      <c r="H127" s="3">
        <v>41</v>
      </c>
      <c r="J127" s="2" t="s">
        <v>137</v>
      </c>
      <c r="K127" s="3">
        <v>38.512195121951223</v>
      </c>
      <c r="M127" s="2" t="s">
        <v>137</v>
      </c>
      <c r="N127" s="3">
        <v>6.416666666666667</v>
      </c>
    </row>
    <row r="128" spans="4:14" x14ac:dyDescent="0.25">
      <c r="D128" s="2" t="s">
        <v>132</v>
      </c>
      <c r="E128" s="3">
        <v>32</v>
      </c>
      <c r="G128" s="2" t="s">
        <v>138</v>
      </c>
      <c r="H128" s="3">
        <v>31</v>
      </c>
      <c r="J128" s="2" t="s">
        <v>138</v>
      </c>
      <c r="K128" s="3">
        <v>34.806451612903224</v>
      </c>
      <c r="M128" s="2" t="s">
        <v>138</v>
      </c>
      <c r="N128" s="3">
        <v>5.5384615384615383</v>
      </c>
    </row>
    <row r="129" spans="4:14" x14ac:dyDescent="0.25">
      <c r="D129" s="2" t="s">
        <v>133</v>
      </c>
      <c r="E129" s="3">
        <v>27</v>
      </c>
      <c r="G129" s="2" t="s">
        <v>139</v>
      </c>
      <c r="H129" s="3">
        <v>29</v>
      </c>
      <c r="J129" s="2" t="s">
        <v>139</v>
      </c>
      <c r="K129" s="3">
        <v>34.517241379310342</v>
      </c>
      <c r="M129" s="2" t="s">
        <v>139</v>
      </c>
      <c r="N129" s="3">
        <v>5</v>
      </c>
    </row>
    <row r="130" spans="4:14" x14ac:dyDescent="0.25">
      <c r="D130" s="2" t="s">
        <v>134</v>
      </c>
      <c r="E130" s="3">
        <v>30</v>
      </c>
      <c r="G130" s="2" t="s">
        <v>140</v>
      </c>
      <c r="H130" s="3">
        <v>33</v>
      </c>
      <c r="J130" s="2" t="s">
        <v>140</v>
      </c>
      <c r="K130" s="3">
        <v>36.575757575757578</v>
      </c>
      <c r="M130" s="2" t="s">
        <v>140</v>
      </c>
      <c r="N130" s="3">
        <v>4.9090909090909092</v>
      </c>
    </row>
    <row r="131" spans="4:14" x14ac:dyDescent="0.25">
      <c r="D131" s="2" t="s">
        <v>135</v>
      </c>
      <c r="E131" s="3">
        <v>34</v>
      </c>
      <c r="G131" s="2" t="s">
        <v>141</v>
      </c>
      <c r="H131" s="3">
        <v>30</v>
      </c>
      <c r="J131" s="2" t="s">
        <v>141</v>
      </c>
      <c r="K131" s="3">
        <v>35.833333333333336</v>
      </c>
      <c r="M131" s="2" t="s">
        <v>141</v>
      </c>
      <c r="N131" s="3">
        <v>3.3</v>
      </c>
    </row>
    <row r="132" spans="4:14" x14ac:dyDescent="0.25">
      <c r="D132" s="2" t="s">
        <v>136</v>
      </c>
      <c r="E132" s="3">
        <v>37</v>
      </c>
      <c r="G132" s="2" t="s">
        <v>142</v>
      </c>
      <c r="H132" s="3">
        <v>37</v>
      </c>
      <c r="J132" s="2" t="s">
        <v>142</v>
      </c>
      <c r="K132" s="3">
        <v>35.567567567567565</v>
      </c>
      <c r="M132" s="2" t="s">
        <v>142</v>
      </c>
      <c r="N132" s="3">
        <v>4.7</v>
      </c>
    </row>
    <row r="133" spans="4:14" x14ac:dyDescent="0.25">
      <c r="D133" s="2" t="s">
        <v>137</v>
      </c>
      <c r="E133" s="3">
        <v>41</v>
      </c>
      <c r="G133" s="2" t="s">
        <v>143</v>
      </c>
      <c r="H133" s="3">
        <v>33</v>
      </c>
      <c r="J133" s="2" t="s">
        <v>143</v>
      </c>
      <c r="K133" s="3">
        <v>36.333333333333336</v>
      </c>
      <c r="M133" s="2" t="s">
        <v>143</v>
      </c>
      <c r="N133" s="3">
        <v>4.666666666666667</v>
      </c>
    </row>
    <row r="134" spans="4:14" x14ac:dyDescent="0.25">
      <c r="D134" s="2" t="s">
        <v>138</v>
      </c>
      <c r="E134" s="3">
        <v>31</v>
      </c>
      <c r="G134" s="2" t="s">
        <v>144</v>
      </c>
      <c r="H134" s="3">
        <v>37</v>
      </c>
      <c r="J134" s="2" t="s">
        <v>144</v>
      </c>
      <c r="K134" s="3">
        <v>31.351351351351351</v>
      </c>
      <c r="M134" s="2" t="s">
        <v>144</v>
      </c>
      <c r="N134" s="3">
        <v>4.875</v>
      </c>
    </row>
    <row r="135" spans="4:14" x14ac:dyDescent="0.25">
      <c r="D135" s="2" t="s">
        <v>139</v>
      </c>
      <c r="E135" s="3">
        <v>29</v>
      </c>
      <c r="G135" s="2" t="s">
        <v>145</v>
      </c>
      <c r="H135" s="3">
        <v>31</v>
      </c>
      <c r="J135" s="2" t="s">
        <v>145</v>
      </c>
      <c r="K135" s="3">
        <v>31.64516129032258</v>
      </c>
      <c r="M135" s="2" t="s">
        <v>145</v>
      </c>
      <c r="N135" s="3">
        <v>5.333333333333333</v>
      </c>
    </row>
    <row r="136" spans="4:14" x14ac:dyDescent="0.25">
      <c r="D136" s="2" t="s">
        <v>140</v>
      </c>
      <c r="E136" s="3">
        <v>33</v>
      </c>
      <c r="G136" s="2" t="s">
        <v>146</v>
      </c>
      <c r="H136" s="3">
        <v>25</v>
      </c>
      <c r="J136" s="2" t="s">
        <v>146</v>
      </c>
      <c r="K136" s="3">
        <v>40.200000000000003</v>
      </c>
      <c r="M136" s="2" t="s">
        <v>146</v>
      </c>
      <c r="N136" s="3">
        <v>4.125</v>
      </c>
    </row>
    <row r="137" spans="4:14" x14ac:dyDescent="0.25">
      <c r="D137" s="2" t="s">
        <v>141</v>
      </c>
      <c r="E137" s="3">
        <v>30</v>
      </c>
      <c r="G137" s="2" t="s">
        <v>147</v>
      </c>
      <c r="H137" s="3">
        <v>25</v>
      </c>
      <c r="J137" s="2" t="s">
        <v>147</v>
      </c>
      <c r="K137" s="3">
        <v>38</v>
      </c>
      <c r="M137" s="2" t="s">
        <v>147</v>
      </c>
      <c r="N137" s="3">
        <v>6</v>
      </c>
    </row>
    <row r="138" spans="4:14" x14ac:dyDescent="0.25">
      <c r="D138" s="2" t="s">
        <v>142</v>
      </c>
      <c r="E138" s="3">
        <v>37</v>
      </c>
      <c r="G138" s="2" t="s">
        <v>148</v>
      </c>
      <c r="H138" s="3">
        <v>25</v>
      </c>
      <c r="J138" s="2" t="s">
        <v>148</v>
      </c>
      <c r="K138" s="3">
        <v>30.56</v>
      </c>
      <c r="M138" s="2" t="s">
        <v>148</v>
      </c>
      <c r="N138" s="3">
        <v>4.3</v>
      </c>
    </row>
    <row r="139" spans="4:14" x14ac:dyDescent="0.25">
      <c r="D139" s="2" t="s">
        <v>143</v>
      </c>
      <c r="E139" s="3">
        <v>33</v>
      </c>
      <c r="G139" s="2" t="s">
        <v>149</v>
      </c>
      <c r="H139" s="3">
        <v>23</v>
      </c>
      <c r="J139" s="2" t="s">
        <v>149</v>
      </c>
      <c r="K139" s="3">
        <v>34.565217391304351</v>
      </c>
      <c r="M139" s="2" t="s">
        <v>149</v>
      </c>
      <c r="N139" s="3">
        <v>4.2</v>
      </c>
    </row>
    <row r="140" spans="4:14" x14ac:dyDescent="0.25">
      <c r="D140" s="2" t="s">
        <v>144</v>
      </c>
      <c r="E140" s="3">
        <v>37</v>
      </c>
      <c r="G140" s="2" t="s">
        <v>150</v>
      </c>
      <c r="H140" s="3">
        <v>41</v>
      </c>
      <c r="J140" s="2" t="s">
        <v>150</v>
      </c>
      <c r="K140" s="3">
        <v>32.902439024390247</v>
      </c>
      <c r="M140" s="2" t="s">
        <v>150</v>
      </c>
      <c r="N140" s="3">
        <v>6.8666666666666663</v>
      </c>
    </row>
    <row r="141" spans="4:14" x14ac:dyDescent="0.25">
      <c r="D141" s="2" t="s">
        <v>145</v>
      </c>
      <c r="E141" s="3">
        <v>31</v>
      </c>
      <c r="G141" s="2" t="s">
        <v>151</v>
      </c>
      <c r="H141" s="3">
        <v>31</v>
      </c>
      <c r="J141" s="2" t="s">
        <v>151</v>
      </c>
      <c r="K141" s="3">
        <v>33.451612903225808</v>
      </c>
      <c r="M141" s="2" t="s">
        <v>151</v>
      </c>
      <c r="N141" s="3">
        <v>6.2857142857142856</v>
      </c>
    </row>
    <row r="142" spans="4:14" x14ac:dyDescent="0.25">
      <c r="D142" s="2" t="s">
        <v>146</v>
      </c>
      <c r="E142" s="3">
        <v>25</v>
      </c>
      <c r="G142" s="2" t="s">
        <v>152</v>
      </c>
      <c r="H142" s="3">
        <v>34</v>
      </c>
      <c r="J142" s="2" t="s">
        <v>152</v>
      </c>
      <c r="K142" s="3">
        <v>36.117647058823529</v>
      </c>
      <c r="M142" s="2" t="s">
        <v>152</v>
      </c>
      <c r="N142" s="3">
        <v>4.0909090909090908</v>
      </c>
    </row>
    <row r="143" spans="4:14" x14ac:dyDescent="0.25">
      <c r="D143" s="2" t="s">
        <v>147</v>
      </c>
      <c r="E143" s="3">
        <v>25</v>
      </c>
      <c r="G143" s="2" t="s">
        <v>153</v>
      </c>
      <c r="H143" s="3">
        <v>31</v>
      </c>
      <c r="J143" s="2" t="s">
        <v>153</v>
      </c>
      <c r="K143" s="3">
        <v>36.322580645161288</v>
      </c>
      <c r="M143" s="2" t="s">
        <v>153</v>
      </c>
      <c r="N143" s="3">
        <v>4</v>
      </c>
    </row>
    <row r="144" spans="4:14" x14ac:dyDescent="0.25">
      <c r="D144" s="2" t="s">
        <v>148</v>
      </c>
      <c r="E144" s="3">
        <v>25</v>
      </c>
      <c r="G144" s="2" t="s">
        <v>154</v>
      </c>
      <c r="H144" s="3">
        <v>31</v>
      </c>
      <c r="J144" s="2" t="s">
        <v>154</v>
      </c>
      <c r="K144" s="3">
        <v>32.806451612903224</v>
      </c>
      <c r="M144" s="2" t="s">
        <v>154</v>
      </c>
      <c r="N144" s="3">
        <v>5.4285714285714288</v>
      </c>
    </row>
    <row r="145" spans="4:14" x14ac:dyDescent="0.25">
      <c r="D145" s="2" t="s">
        <v>149</v>
      </c>
      <c r="E145" s="3">
        <v>23</v>
      </c>
      <c r="G145" s="2" t="s">
        <v>155</v>
      </c>
      <c r="H145" s="3">
        <v>44</v>
      </c>
      <c r="J145" s="2" t="s">
        <v>155</v>
      </c>
      <c r="K145" s="3">
        <v>37.704545454545453</v>
      </c>
      <c r="M145" s="2" t="s">
        <v>155</v>
      </c>
      <c r="N145" s="3">
        <v>5.8</v>
      </c>
    </row>
    <row r="146" spans="4:14" x14ac:dyDescent="0.25">
      <c r="D146" s="2" t="s">
        <v>150</v>
      </c>
      <c r="E146" s="3">
        <v>41</v>
      </c>
      <c r="G146" s="2" t="s">
        <v>156</v>
      </c>
      <c r="H146" s="3">
        <v>43</v>
      </c>
      <c r="J146" s="2" t="s">
        <v>156</v>
      </c>
      <c r="K146" s="3">
        <v>36.534883720930232</v>
      </c>
      <c r="M146" s="2" t="s">
        <v>156</v>
      </c>
      <c r="N146" s="3">
        <v>4.5625</v>
      </c>
    </row>
    <row r="147" spans="4:14" x14ac:dyDescent="0.25">
      <c r="D147" s="2" t="s">
        <v>151</v>
      </c>
      <c r="E147" s="3">
        <v>31</v>
      </c>
      <c r="G147" s="2" t="s">
        <v>157</v>
      </c>
      <c r="H147" s="3">
        <v>33</v>
      </c>
      <c r="J147" s="2" t="s">
        <v>157</v>
      </c>
      <c r="K147" s="3">
        <v>35.303030303030305</v>
      </c>
      <c r="M147" s="2" t="s">
        <v>157</v>
      </c>
      <c r="N147" s="3">
        <v>4.5454545454545459</v>
      </c>
    </row>
    <row r="148" spans="4:14" x14ac:dyDescent="0.25">
      <c r="D148" s="2" t="s">
        <v>152</v>
      </c>
      <c r="E148" s="3">
        <v>34</v>
      </c>
      <c r="G148" s="2" t="s">
        <v>158</v>
      </c>
      <c r="H148" s="3">
        <v>28</v>
      </c>
      <c r="J148" s="2" t="s">
        <v>158</v>
      </c>
      <c r="K148" s="3">
        <v>41.535714285714285</v>
      </c>
      <c r="M148" s="2" t="s">
        <v>158</v>
      </c>
      <c r="N148" s="3">
        <v>5.75</v>
      </c>
    </row>
    <row r="149" spans="4:14" x14ac:dyDescent="0.25">
      <c r="D149" s="2" t="s">
        <v>153</v>
      </c>
      <c r="E149" s="3">
        <v>31</v>
      </c>
      <c r="G149" s="2" t="s">
        <v>159</v>
      </c>
      <c r="H149" s="3">
        <v>34</v>
      </c>
      <c r="J149" s="2" t="s">
        <v>159</v>
      </c>
      <c r="K149" s="3">
        <v>38.147058823529413</v>
      </c>
      <c r="M149" s="2" t="s">
        <v>159</v>
      </c>
      <c r="N149" s="3">
        <v>5.2</v>
      </c>
    </row>
    <row r="150" spans="4:14" x14ac:dyDescent="0.25">
      <c r="D150" s="2" t="s">
        <v>154</v>
      </c>
      <c r="E150" s="3">
        <v>31</v>
      </c>
      <c r="G150" s="2" t="s">
        <v>160</v>
      </c>
      <c r="H150" s="3">
        <v>24</v>
      </c>
      <c r="J150" s="2" t="s">
        <v>160</v>
      </c>
      <c r="K150" s="3">
        <v>37.166666666666664</v>
      </c>
      <c r="M150" s="2" t="s">
        <v>160</v>
      </c>
      <c r="N150" s="3">
        <v>7.25</v>
      </c>
    </row>
    <row r="151" spans="4:14" x14ac:dyDescent="0.25">
      <c r="D151" s="2" t="s">
        <v>155</v>
      </c>
      <c r="E151" s="3">
        <v>44</v>
      </c>
      <c r="G151" s="2" t="s">
        <v>161</v>
      </c>
      <c r="H151" s="3">
        <v>27</v>
      </c>
      <c r="J151" s="2" t="s">
        <v>161</v>
      </c>
      <c r="K151" s="3">
        <v>33.629629629629626</v>
      </c>
      <c r="M151" s="2" t="s">
        <v>161</v>
      </c>
      <c r="N151" s="3">
        <v>4.8</v>
      </c>
    </row>
    <row r="152" spans="4:14" x14ac:dyDescent="0.25">
      <c r="D152" s="2" t="s">
        <v>156</v>
      </c>
      <c r="E152" s="3">
        <v>43</v>
      </c>
      <c r="G152" s="2" t="s">
        <v>162</v>
      </c>
      <c r="H152" s="3">
        <v>23</v>
      </c>
      <c r="J152" s="2" t="s">
        <v>162</v>
      </c>
      <c r="K152" s="3">
        <v>33.130434782608695</v>
      </c>
      <c r="M152" s="2" t="s">
        <v>162</v>
      </c>
      <c r="N152" s="3">
        <v>4.5384615384615383</v>
      </c>
    </row>
    <row r="153" spans="4:14" x14ac:dyDescent="0.25">
      <c r="D153" s="2" t="s">
        <v>157</v>
      </c>
      <c r="E153" s="3">
        <v>33</v>
      </c>
      <c r="G153" s="2" t="s">
        <v>163</v>
      </c>
      <c r="H153" s="3">
        <v>35</v>
      </c>
      <c r="J153" s="2" t="s">
        <v>163</v>
      </c>
      <c r="K153" s="3">
        <v>36.085714285714289</v>
      </c>
      <c r="M153" s="2" t="s">
        <v>163</v>
      </c>
      <c r="N153" s="3">
        <v>4.5999999999999996</v>
      </c>
    </row>
    <row r="154" spans="4:14" x14ac:dyDescent="0.25">
      <c r="D154" s="2" t="s">
        <v>158</v>
      </c>
      <c r="E154" s="3">
        <v>28</v>
      </c>
      <c r="G154" s="2" t="s">
        <v>164</v>
      </c>
      <c r="H154" s="3">
        <v>39</v>
      </c>
      <c r="J154" s="2" t="s">
        <v>164</v>
      </c>
      <c r="K154" s="3">
        <v>33.512820512820511</v>
      </c>
      <c r="M154" s="2" t="s">
        <v>164</v>
      </c>
      <c r="N154" s="3">
        <v>5</v>
      </c>
    </row>
    <row r="155" spans="4:14" x14ac:dyDescent="0.25">
      <c r="D155" s="2" t="s">
        <v>159</v>
      </c>
      <c r="E155" s="3">
        <v>34</v>
      </c>
      <c r="G155" s="2" t="s">
        <v>165</v>
      </c>
      <c r="H155" s="3">
        <v>30</v>
      </c>
      <c r="J155" s="2" t="s">
        <v>165</v>
      </c>
      <c r="K155" s="3">
        <v>33.733333333333334</v>
      </c>
      <c r="M155" s="2" t="s">
        <v>165</v>
      </c>
      <c r="N155" s="3">
        <v>7</v>
      </c>
    </row>
    <row r="156" spans="4:14" x14ac:dyDescent="0.25">
      <c r="D156" s="2" t="s">
        <v>160</v>
      </c>
      <c r="E156" s="3">
        <v>24</v>
      </c>
      <c r="G156" s="2" t="s">
        <v>166</v>
      </c>
      <c r="H156" s="3">
        <v>43</v>
      </c>
      <c r="J156" s="2" t="s">
        <v>166</v>
      </c>
      <c r="K156" s="3">
        <v>34.279069767441861</v>
      </c>
      <c r="M156" s="2" t="s">
        <v>166</v>
      </c>
      <c r="N156" s="3">
        <v>4.7777777777777777</v>
      </c>
    </row>
    <row r="157" spans="4:14" x14ac:dyDescent="0.25">
      <c r="D157" s="2" t="s">
        <v>161</v>
      </c>
      <c r="E157" s="3">
        <v>27</v>
      </c>
      <c r="G157" s="2" t="s">
        <v>167</v>
      </c>
      <c r="H157" s="3">
        <v>27</v>
      </c>
      <c r="J157" s="2" t="s">
        <v>167</v>
      </c>
      <c r="K157" s="3">
        <v>36.222222222222221</v>
      </c>
      <c r="M157" s="2" t="s">
        <v>167</v>
      </c>
      <c r="N157" s="3">
        <v>5.2727272727272725</v>
      </c>
    </row>
    <row r="158" spans="4:14" x14ac:dyDescent="0.25">
      <c r="D158" s="2" t="s">
        <v>162</v>
      </c>
      <c r="E158" s="3">
        <v>23</v>
      </c>
      <c r="G158" s="2" t="s">
        <v>168</v>
      </c>
      <c r="H158" s="3">
        <v>42</v>
      </c>
      <c r="J158" s="2" t="s">
        <v>168</v>
      </c>
      <c r="K158" s="3">
        <v>35.904761904761905</v>
      </c>
      <c r="M158" s="2" t="s">
        <v>168</v>
      </c>
      <c r="N158" s="3">
        <v>4.2727272727272725</v>
      </c>
    </row>
    <row r="159" spans="4:14" x14ac:dyDescent="0.25">
      <c r="D159" s="2" t="s">
        <v>163</v>
      </c>
      <c r="E159" s="3">
        <v>35</v>
      </c>
      <c r="G159" s="2" t="s">
        <v>169</v>
      </c>
      <c r="H159" s="3">
        <v>32</v>
      </c>
      <c r="J159" s="2" t="s">
        <v>169</v>
      </c>
      <c r="K159" s="3">
        <v>32.53125</v>
      </c>
      <c r="M159" s="2" t="s">
        <v>169</v>
      </c>
      <c r="N159" s="3">
        <v>5</v>
      </c>
    </row>
    <row r="160" spans="4:14" x14ac:dyDescent="0.25">
      <c r="D160" s="2" t="s">
        <v>164</v>
      </c>
      <c r="E160" s="3">
        <v>39</v>
      </c>
      <c r="G160" s="2" t="s">
        <v>170</v>
      </c>
      <c r="H160" s="3">
        <v>32</v>
      </c>
      <c r="J160" s="2" t="s">
        <v>170</v>
      </c>
      <c r="K160" s="3">
        <v>33.84375</v>
      </c>
      <c r="M160" s="2" t="s">
        <v>170</v>
      </c>
      <c r="N160" s="3">
        <v>4.3571428571428568</v>
      </c>
    </row>
    <row r="161" spans="4:14" x14ac:dyDescent="0.25">
      <c r="D161" s="2" t="s">
        <v>165</v>
      </c>
      <c r="E161" s="3">
        <v>30</v>
      </c>
      <c r="G161" s="2" t="s">
        <v>171</v>
      </c>
      <c r="H161" s="3">
        <v>28</v>
      </c>
      <c r="J161" s="2" t="s">
        <v>171</v>
      </c>
      <c r="K161" s="3">
        <v>35.214285714285715</v>
      </c>
      <c r="M161" s="2" t="s">
        <v>171</v>
      </c>
      <c r="N161" s="3">
        <v>4.8571428571428568</v>
      </c>
    </row>
    <row r="162" spans="4:14" x14ac:dyDescent="0.25">
      <c r="D162" s="2" t="s">
        <v>166</v>
      </c>
      <c r="E162" s="3">
        <v>43</v>
      </c>
      <c r="G162" s="2" t="s">
        <v>172</v>
      </c>
      <c r="H162" s="3">
        <v>32</v>
      </c>
      <c r="J162" s="2" t="s">
        <v>172</v>
      </c>
      <c r="K162" s="3">
        <v>37.21875</v>
      </c>
      <c r="M162" s="2" t="s">
        <v>172</v>
      </c>
      <c r="N162" s="3">
        <v>5.125</v>
      </c>
    </row>
    <row r="163" spans="4:14" x14ac:dyDescent="0.25">
      <c r="D163" s="2" t="s">
        <v>167</v>
      </c>
      <c r="E163" s="3">
        <v>27</v>
      </c>
      <c r="G163" s="2" t="s">
        <v>173</v>
      </c>
      <c r="H163" s="3">
        <v>39</v>
      </c>
      <c r="J163" s="2" t="s">
        <v>173</v>
      </c>
      <c r="K163" s="3">
        <v>36.871794871794869</v>
      </c>
      <c r="M163" s="2" t="s">
        <v>173</v>
      </c>
      <c r="N163" s="3">
        <v>5</v>
      </c>
    </row>
    <row r="164" spans="4:14" x14ac:dyDescent="0.25">
      <c r="D164" s="2" t="s">
        <v>168</v>
      </c>
      <c r="E164" s="3">
        <v>42</v>
      </c>
      <c r="G164" s="2" t="s">
        <v>174</v>
      </c>
      <c r="H164" s="3">
        <v>40</v>
      </c>
      <c r="J164" s="2" t="s">
        <v>174</v>
      </c>
      <c r="K164" s="3">
        <v>36.450000000000003</v>
      </c>
      <c r="M164" s="2" t="s">
        <v>174</v>
      </c>
      <c r="N164" s="3">
        <v>5.2222222222222223</v>
      </c>
    </row>
    <row r="165" spans="4:14" x14ac:dyDescent="0.25">
      <c r="D165" s="2" t="s">
        <v>169</v>
      </c>
      <c r="E165" s="3">
        <v>32</v>
      </c>
      <c r="G165" s="2" t="s">
        <v>175</v>
      </c>
      <c r="H165" s="3">
        <v>31</v>
      </c>
      <c r="J165" s="2" t="s">
        <v>175</v>
      </c>
      <c r="K165" s="3">
        <v>32.935483870967744</v>
      </c>
      <c r="M165" s="2" t="s">
        <v>175</v>
      </c>
      <c r="N165" s="3">
        <v>4.2222222222222223</v>
      </c>
    </row>
    <row r="166" spans="4:14" x14ac:dyDescent="0.25">
      <c r="D166" s="2" t="s">
        <v>170</v>
      </c>
      <c r="E166" s="3">
        <v>32</v>
      </c>
      <c r="G166" s="2" t="s">
        <v>176</v>
      </c>
      <c r="H166" s="3">
        <v>34</v>
      </c>
      <c r="J166" s="2" t="s">
        <v>176</v>
      </c>
      <c r="K166" s="3">
        <v>41.323529411764703</v>
      </c>
      <c r="M166" s="2" t="s">
        <v>176</v>
      </c>
      <c r="N166" s="3">
        <v>4.8571428571428568</v>
      </c>
    </row>
    <row r="167" spans="4:14" x14ac:dyDescent="0.25">
      <c r="D167" s="2" t="s">
        <v>171</v>
      </c>
      <c r="E167" s="3">
        <v>28</v>
      </c>
      <c r="G167" s="2" t="s">
        <v>177</v>
      </c>
      <c r="H167" s="3">
        <v>37</v>
      </c>
      <c r="J167" s="2" t="s">
        <v>177</v>
      </c>
      <c r="K167" s="3">
        <v>34.432432432432435</v>
      </c>
      <c r="M167" s="2" t="s">
        <v>177</v>
      </c>
      <c r="N167" s="3">
        <v>3.8888888888888888</v>
      </c>
    </row>
    <row r="168" spans="4:14" x14ac:dyDescent="0.25">
      <c r="D168" s="2" t="s">
        <v>172</v>
      </c>
      <c r="E168" s="3">
        <v>32</v>
      </c>
      <c r="G168" s="2" t="s">
        <v>178</v>
      </c>
      <c r="H168" s="3">
        <v>30</v>
      </c>
      <c r="J168" s="2" t="s">
        <v>178</v>
      </c>
      <c r="K168" s="3">
        <v>36.966666666666669</v>
      </c>
      <c r="M168" s="2" t="s">
        <v>178</v>
      </c>
      <c r="N168" s="3">
        <v>4</v>
      </c>
    </row>
    <row r="169" spans="4:14" x14ac:dyDescent="0.25">
      <c r="D169" s="2" t="s">
        <v>173</v>
      </c>
      <c r="E169" s="3">
        <v>39</v>
      </c>
      <c r="G169" s="2" t="s">
        <v>179</v>
      </c>
      <c r="H169" s="3">
        <v>25</v>
      </c>
      <c r="J169" s="2" t="s">
        <v>179</v>
      </c>
      <c r="K169" s="3">
        <v>39.520000000000003</v>
      </c>
      <c r="M169" s="2" t="s">
        <v>179</v>
      </c>
      <c r="N169" s="3">
        <v>5</v>
      </c>
    </row>
    <row r="170" spans="4:14" x14ac:dyDescent="0.25">
      <c r="D170" s="2" t="s">
        <v>174</v>
      </c>
      <c r="E170" s="3">
        <v>40</v>
      </c>
      <c r="G170" s="2" t="s">
        <v>180</v>
      </c>
      <c r="H170" s="3">
        <v>38</v>
      </c>
      <c r="J170" s="2" t="s">
        <v>180</v>
      </c>
      <c r="K170" s="3">
        <v>36.026315789473685</v>
      </c>
      <c r="M170" s="2" t="s">
        <v>180</v>
      </c>
      <c r="N170" s="3">
        <v>5.7777777777777777</v>
      </c>
    </row>
    <row r="171" spans="4:14" x14ac:dyDescent="0.25">
      <c r="D171" s="2" t="s">
        <v>175</v>
      </c>
      <c r="E171" s="3">
        <v>31</v>
      </c>
      <c r="G171" s="2" t="s">
        <v>181</v>
      </c>
      <c r="H171" s="3">
        <v>27</v>
      </c>
      <c r="J171" s="2" t="s">
        <v>181</v>
      </c>
      <c r="K171" s="3">
        <v>32.370370370370374</v>
      </c>
      <c r="M171" s="2" t="s">
        <v>181</v>
      </c>
      <c r="N171" s="3">
        <v>2.6</v>
      </c>
    </row>
    <row r="172" spans="4:14" x14ac:dyDescent="0.25">
      <c r="D172" s="2" t="s">
        <v>176</v>
      </c>
      <c r="E172" s="3">
        <v>34</v>
      </c>
      <c r="G172" s="2" t="s">
        <v>182</v>
      </c>
      <c r="H172" s="3">
        <v>37</v>
      </c>
      <c r="J172" s="2" t="s">
        <v>182</v>
      </c>
      <c r="K172" s="3">
        <v>33.243243243243242</v>
      </c>
      <c r="M172" s="2" t="s">
        <v>182</v>
      </c>
      <c r="N172" s="3">
        <v>6.5</v>
      </c>
    </row>
    <row r="173" spans="4:14" x14ac:dyDescent="0.25">
      <c r="D173" s="2" t="s">
        <v>177</v>
      </c>
      <c r="E173" s="3">
        <v>37</v>
      </c>
      <c r="G173" s="2" t="s">
        <v>183</v>
      </c>
      <c r="H173" s="3">
        <v>33</v>
      </c>
      <c r="J173" s="2" t="s">
        <v>183</v>
      </c>
      <c r="K173" s="3">
        <v>33.575757575757578</v>
      </c>
      <c r="M173" s="2" t="s">
        <v>183</v>
      </c>
      <c r="N173" s="3">
        <v>3.8181818181818183</v>
      </c>
    </row>
    <row r="174" spans="4:14" x14ac:dyDescent="0.25">
      <c r="D174" s="2" t="s">
        <v>178</v>
      </c>
      <c r="E174" s="3">
        <v>30</v>
      </c>
      <c r="G174" s="2" t="s">
        <v>184</v>
      </c>
      <c r="H174" s="3">
        <v>23</v>
      </c>
      <c r="J174" s="2" t="s">
        <v>184</v>
      </c>
      <c r="K174" s="3">
        <v>31.130434782608695</v>
      </c>
      <c r="M174" s="2" t="s">
        <v>184</v>
      </c>
      <c r="N174" s="3">
        <v>4.4000000000000004</v>
      </c>
    </row>
    <row r="175" spans="4:14" x14ac:dyDescent="0.25">
      <c r="D175" s="2" t="s">
        <v>179</v>
      </c>
      <c r="E175" s="3">
        <v>25</v>
      </c>
      <c r="G175" s="2" t="s">
        <v>185</v>
      </c>
      <c r="H175" s="3">
        <v>27</v>
      </c>
      <c r="J175" s="2" t="s">
        <v>185</v>
      </c>
      <c r="K175" s="3">
        <v>36.888888888888886</v>
      </c>
      <c r="M175" s="2" t="s">
        <v>185</v>
      </c>
      <c r="N175" s="3">
        <v>4.5</v>
      </c>
    </row>
    <row r="176" spans="4:14" x14ac:dyDescent="0.25">
      <c r="D176" s="2" t="s">
        <v>180</v>
      </c>
      <c r="E176" s="3">
        <v>38</v>
      </c>
      <c r="G176" s="2" t="s">
        <v>186</v>
      </c>
      <c r="H176" s="3">
        <v>29</v>
      </c>
      <c r="J176" s="2" t="s">
        <v>186</v>
      </c>
      <c r="K176" s="3">
        <v>29.862068965517242</v>
      </c>
      <c r="M176" s="2" t="s">
        <v>186</v>
      </c>
      <c r="N176" s="3">
        <v>4.625</v>
      </c>
    </row>
    <row r="177" spans="4:14" x14ac:dyDescent="0.25">
      <c r="D177" s="2" t="s">
        <v>181</v>
      </c>
      <c r="E177" s="3">
        <v>27</v>
      </c>
      <c r="G177" s="2" t="s">
        <v>187</v>
      </c>
      <c r="H177" s="3">
        <v>38</v>
      </c>
      <c r="J177" s="2" t="s">
        <v>187</v>
      </c>
      <c r="K177" s="3">
        <v>36.526315789473685</v>
      </c>
      <c r="M177" s="2" t="s">
        <v>187</v>
      </c>
      <c r="N177" s="3">
        <v>4.5</v>
      </c>
    </row>
    <row r="178" spans="4:14" x14ac:dyDescent="0.25">
      <c r="D178" s="2" t="s">
        <v>182</v>
      </c>
      <c r="E178" s="3">
        <v>37</v>
      </c>
      <c r="G178" s="2" t="s">
        <v>188</v>
      </c>
      <c r="H178" s="3">
        <v>28</v>
      </c>
      <c r="J178" s="2" t="s">
        <v>188</v>
      </c>
      <c r="K178" s="3">
        <v>34.571428571428569</v>
      </c>
      <c r="M178" s="2" t="s">
        <v>188</v>
      </c>
      <c r="N178" s="3">
        <v>5.833333333333333</v>
      </c>
    </row>
    <row r="179" spans="4:14" x14ac:dyDescent="0.25">
      <c r="D179" s="2" t="s">
        <v>183</v>
      </c>
      <c r="E179" s="3">
        <v>33</v>
      </c>
      <c r="G179" s="2" t="s">
        <v>189</v>
      </c>
      <c r="H179" s="3">
        <v>36</v>
      </c>
      <c r="J179" s="2" t="s">
        <v>189</v>
      </c>
      <c r="K179" s="3">
        <v>38.5</v>
      </c>
      <c r="M179" s="2" t="s">
        <v>189</v>
      </c>
      <c r="N179" s="3">
        <v>4.666666666666667</v>
      </c>
    </row>
    <row r="180" spans="4:14" x14ac:dyDescent="0.25">
      <c r="D180" s="2" t="s">
        <v>184</v>
      </c>
      <c r="E180" s="3">
        <v>23</v>
      </c>
      <c r="G180" s="2" t="s">
        <v>190</v>
      </c>
      <c r="H180" s="3">
        <v>31</v>
      </c>
      <c r="J180" s="2" t="s">
        <v>190</v>
      </c>
      <c r="K180" s="3">
        <v>37.12903225806452</v>
      </c>
      <c r="M180" s="2" t="s">
        <v>190</v>
      </c>
      <c r="N180" s="3">
        <v>4.666666666666667</v>
      </c>
    </row>
    <row r="181" spans="4:14" x14ac:dyDescent="0.25">
      <c r="D181" s="2" t="s">
        <v>185</v>
      </c>
      <c r="E181" s="3">
        <v>27</v>
      </c>
      <c r="G181" s="2" t="s">
        <v>191</v>
      </c>
      <c r="H181" s="3">
        <v>34</v>
      </c>
      <c r="J181" s="2" t="s">
        <v>191</v>
      </c>
      <c r="K181" s="3">
        <v>33.852941176470587</v>
      </c>
      <c r="M181" s="2" t="s">
        <v>191</v>
      </c>
      <c r="N181" s="3">
        <v>6.75</v>
      </c>
    </row>
    <row r="182" spans="4:14" x14ac:dyDescent="0.25">
      <c r="D182" s="2" t="s">
        <v>186</v>
      </c>
      <c r="E182" s="3">
        <v>29</v>
      </c>
      <c r="G182" s="2" t="s">
        <v>192</v>
      </c>
      <c r="H182" s="3">
        <v>39</v>
      </c>
      <c r="J182" s="2" t="s">
        <v>192</v>
      </c>
      <c r="K182" s="3">
        <v>37.230769230769234</v>
      </c>
      <c r="M182" s="2" t="s">
        <v>192</v>
      </c>
      <c r="N182" s="3">
        <v>5.7</v>
      </c>
    </row>
    <row r="183" spans="4:14" x14ac:dyDescent="0.25">
      <c r="D183" s="2" t="s">
        <v>187</v>
      </c>
      <c r="E183" s="3">
        <v>38</v>
      </c>
      <c r="G183" s="2" t="s">
        <v>193</v>
      </c>
      <c r="H183" s="3">
        <v>40</v>
      </c>
      <c r="J183" s="2" t="s">
        <v>193</v>
      </c>
      <c r="K183" s="3">
        <v>36.075000000000003</v>
      </c>
      <c r="M183" s="2" t="s">
        <v>193</v>
      </c>
      <c r="N183" s="3">
        <v>5.5</v>
      </c>
    </row>
    <row r="184" spans="4:14" x14ac:dyDescent="0.25">
      <c r="D184" s="2" t="s">
        <v>188</v>
      </c>
      <c r="E184" s="3">
        <v>28</v>
      </c>
      <c r="G184" s="2" t="s">
        <v>194</v>
      </c>
      <c r="H184" s="3">
        <v>31</v>
      </c>
      <c r="J184" s="2" t="s">
        <v>194</v>
      </c>
      <c r="K184" s="3">
        <v>34.354838709677416</v>
      </c>
      <c r="M184" s="2" t="s">
        <v>194</v>
      </c>
      <c r="N184" s="3">
        <v>6.2222222222222223</v>
      </c>
    </row>
    <row r="185" spans="4:14" x14ac:dyDescent="0.25">
      <c r="D185" s="2" t="s">
        <v>189</v>
      </c>
      <c r="E185" s="3">
        <v>36</v>
      </c>
      <c r="G185" s="2" t="s">
        <v>195</v>
      </c>
      <c r="H185" s="3">
        <v>28</v>
      </c>
      <c r="J185" s="2" t="s">
        <v>195</v>
      </c>
      <c r="K185" s="3">
        <v>39.571428571428569</v>
      </c>
      <c r="M185" s="2" t="s">
        <v>195</v>
      </c>
      <c r="N185" s="3">
        <v>5.833333333333333</v>
      </c>
    </row>
    <row r="186" spans="4:14" x14ac:dyDescent="0.25">
      <c r="D186" s="2" t="s">
        <v>190</v>
      </c>
      <c r="E186" s="3">
        <v>31</v>
      </c>
      <c r="G186" s="2" t="s">
        <v>196</v>
      </c>
      <c r="H186" s="3">
        <v>32</v>
      </c>
      <c r="J186" s="2" t="s">
        <v>196</v>
      </c>
      <c r="K186" s="3">
        <v>37.53125</v>
      </c>
      <c r="M186" s="2" t="s">
        <v>196</v>
      </c>
      <c r="N186" s="3">
        <v>3.7</v>
      </c>
    </row>
    <row r="187" spans="4:14" x14ac:dyDescent="0.25">
      <c r="D187" s="2" t="s">
        <v>191</v>
      </c>
      <c r="E187" s="3">
        <v>34</v>
      </c>
      <c r="G187" s="2" t="s">
        <v>197</v>
      </c>
      <c r="H187" s="3">
        <v>28</v>
      </c>
      <c r="J187" s="2" t="s">
        <v>197</v>
      </c>
      <c r="K187" s="3">
        <v>31.357142857142858</v>
      </c>
      <c r="M187" s="2" t="s">
        <v>197</v>
      </c>
      <c r="N187" s="3">
        <v>5.8</v>
      </c>
    </row>
    <row r="188" spans="4:14" x14ac:dyDescent="0.25">
      <c r="D188" s="2" t="s">
        <v>192</v>
      </c>
      <c r="E188" s="3">
        <v>39</v>
      </c>
      <c r="G188" s="2" t="s">
        <v>198</v>
      </c>
      <c r="H188" s="3">
        <v>28</v>
      </c>
      <c r="J188" s="2" t="s">
        <v>198</v>
      </c>
      <c r="K188" s="3">
        <v>35.285714285714285</v>
      </c>
      <c r="M188" s="2" t="s">
        <v>198</v>
      </c>
      <c r="N188" s="3">
        <v>4</v>
      </c>
    </row>
    <row r="189" spans="4:14" x14ac:dyDescent="0.25">
      <c r="D189" s="2" t="s">
        <v>193</v>
      </c>
      <c r="E189" s="3">
        <v>40</v>
      </c>
      <c r="G189" s="2" t="s">
        <v>199</v>
      </c>
      <c r="H189" s="3">
        <v>25</v>
      </c>
      <c r="J189" s="2" t="s">
        <v>199</v>
      </c>
      <c r="K189" s="3">
        <v>34</v>
      </c>
      <c r="M189" s="2" t="s">
        <v>199</v>
      </c>
      <c r="N189" s="3">
        <v>2</v>
      </c>
    </row>
    <row r="190" spans="4:14" x14ac:dyDescent="0.25">
      <c r="D190" s="2" t="s">
        <v>194</v>
      </c>
      <c r="E190" s="3">
        <v>31</v>
      </c>
      <c r="G190" s="2" t="s">
        <v>200</v>
      </c>
      <c r="H190" s="3">
        <v>23</v>
      </c>
      <c r="J190" s="2" t="s">
        <v>200</v>
      </c>
      <c r="K190" s="3">
        <v>28.391304347826086</v>
      </c>
      <c r="M190" s="2" t="s">
        <v>200</v>
      </c>
      <c r="N190" s="3">
        <v>6</v>
      </c>
    </row>
    <row r="191" spans="4:14" x14ac:dyDescent="0.25">
      <c r="D191" s="2" t="s">
        <v>195</v>
      </c>
      <c r="E191" s="3">
        <v>28</v>
      </c>
      <c r="G191" s="2" t="s">
        <v>201</v>
      </c>
      <c r="H191" s="3">
        <v>22</v>
      </c>
      <c r="J191" s="2" t="s">
        <v>201</v>
      </c>
      <c r="K191" s="3">
        <v>36.545454545454547</v>
      </c>
      <c r="M191" s="2" t="s">
        <v>201</v>
      </c>
      <c r="N191" s="3">
        <v>5</v>
      </c>
    </row>
    <row r="192" spans="4:14" x14ac:dyDescent="0.25">
      <c r="D192" s="2" t="s">
        <v>196</v>
      </c>
      <c r="E192" s="3">
        <v>32</v>
      </c>
      <c r="G192" s="2" t="s">
        <v>202</v>
      </c>
      <c r="H192" s="3">
        <v>33</v>
      </c>
      <c r="J192" s="2" t="s">
        <v>202</v>
      </c>
      <c r="K192" s="3">
        <v>33.939393939393938</v>
      </c>
      <c r="M192" s="2" t="s">
        <v>202</v>
      </c>
      <c r="N192" s="3">
        <v>5.1111111111111107</v>
      </c>
    </row>
    <row r="193" spans="4:14" x14ac:dyDescent="0.25">
      <c r="D193" s="2" t="s">
        <v>197</v>
      </c>
      <c r="E193" s="3">
        <v>28</v>
      </c>
      <c r="G193" s="2" t="s">
        <v>203</v>
      </c>
      <c r="H193" s="3">
        <v>31</v>
      </c>
      <c r="J193" s="2" t="s">
        <v>203</v>
      </c>
      <c r="K193" s="3">
        <v>38.516129032258064</v>
      </c>
      <c r="M193" s="2" t="s">
        <v>203</v>
      </c>
      <c r="N193" s="3">
        <v>3.8571428571428572</v>
      </c>
    </row>
    <row r="194" spans="4:14" x14ac:dyDescent="0.25">
      <c r="D194" s="2" t="s">
        <v>198</v>
      </c>
      <c r="E194" s="3">
        <v>28</v>
      </c>
      <c r="G194" s="2" t="s">
        <v>204</v>
      </c>
      <c r="H194" s="3">
        <v>35</v>
      </c>
      <c r="J194" s="2" t="s">
        <v>204</v>
      </c>
      <c r="K194" s="3">
        <v>34.74285714285714</v>
      </c>
      <c r="M194" s="2" t="s">
        <v>204</v>
      </c>
      <c r="N194" s="3">
        <v>6.5714285714285712</v>
      </c>
    </row>
    <row r="195" spans="4:14" x14ac:dyDescent="0.25">
      <c r="D195" s="2" t="s">
        <v>199</v>
      </c>
      <c r="E195" s="3">
        <v>25</v>
      </c>
      <c r="G195" s="2" t="s">
        <v>205</v>
      </c>
      <c r="H195" s="3">
        <v>30</v>
      </c>
      <c r="J195" s="2" t="s">
        <v>205</v>
      </c>
      <c r="K195" s="3">
        <v>34.5</v>
      </c>
      <c r="M195" s="2" t="s">
        <v>205</v>
      </c>
      <c r="N195" s="3">
        <v>5.2857142857142856</v>
      </c>
    </row>
    <row r="196" spans="4:14" x14ac:dyDescent="0.25">
      <c r="D196" s="2" t="s">
        <v>200</v>
      </c>
      <c r="E196" s="3">
        <v>23</v>
      </c>
      <c r="G196" s="2" t="s">
        <v>206</v>
      </c>
      <c r="H196" s="3">
        <v>32</v>
      </c>
      <c r="J196" s="2" t="s">
        <v>206</v>
      </c>
      <c r="K196" s="3">
        <v>31.65625</v>
      </c>
      <c r="M196" s="2" t="s">
        <v>206</v>
      </c>
      <c r="N196" s="3">
        <v>5.5</v>
      </c>
    </row>
    <row r="197" spans="4:14" x14ac:dyDescent="0.25">
      <c r="D197" s="2" t="s">
        <v>201</v>
      </c>
      <c r="E197" s="3">
        <v>22</v>
      </c>
      <c r="G197" s="2" t="s">
        <v>207</v>
      </c>
      <c r="H197" s="3">
        <v>39</v>
      </c>
      <c r="J197" s="2" t="s">
        <v>207</v>
      </c>
      <c r="K197" s="3">
        <v>37.384615384615387</v>
      </c>
      <c r="M197" s="2" t="s">
        <v>207</v>
      </c>
      <c r="N197" s="3">
        <v>4.8181818181818183</v>
      </c>
    </row>
    <row r="198" spans="4:14" x14ac:dyDescent="0.25">
      <c r="D198" s="2" t="s">
        <v>202</v>
      </c>
      <c r="E198" s="3">
        <v>33</v>
      </c>
      <c r="G198" s="2" t="s">
        <v>208</v>
      </c>
      <c r="H198" s="3">
        <v>39</v>
      </c>
      <c r="J198" s="2" t="s">
        <v>208</v>
      </c>
      <c r="K198" s="3">
        <v>36.205128205128204</v>
      </c>
      <c r="M198" s="2" t="s">
        <v>208</v>
      </c>
      <c r="N198" s="3">
        <v>5</v>
      </c>
    </row>
    <row r="199" spans="4:14" x14ac:dyDescent="0.25">
      <c r="D199" s="2" t="s">
        <v>203</v>
      </c>
      <c r="E199" s="3">
        <v>31</v>
      </c>
      <c r="G199" s="2" t="s">
        <v>209</v>
      </c>
      <c r="H199" s="3">
        <v>30</v>
      </c>
      <c r="J199" s="2" t="s">
        <v>209</v>
      </c>
      <c r="K199" s="3">
        <v>35.6</v>
      </c>
      <c r="M199" s="2" t="s">
        <v>209</v>
      </c>
      <c r="N199" s="3">
        <v>3.2222222222222223</v>
      </c>
    </row>
    <row r="200" spans="4:14" x14ac:dyDescent="0.25">
      <c r="D200" s="2" t="s">
        <v>204</v>
      </c>
      <c r="E200" s="3">
        <v>35</v>
      </c>
      <c r="G200" s="2" t="s">
        <v>210</v>
      </c>
      <c r="H200" s="3">
        <v>29</v>
      </c>
      <c r="J200" s="2" t="s">
        <v>210</v>
      </c>
      <c r="K200" s="3">
        <v>31.068965517241381</v>
      </c>
      <c r="M200" s="2" t="s">
        <v>210</v>
      </c>
      <c r="N200" s="3">
        <v>6.333333333333333</v>
      </c>
    </row>
    <row r="201" spans="4:14" x14ac:dyDescent="0.25">
      <c r="D201" s="2" t="s">
        <v>205</v>
      </c>
      <c r="E201" s="3">
        <v>30</v>
      </c>
      <c r="G201" s="2" t="s">
        <v>211</v>
      </c>
      <c r="H201" s="3">
        <v>34</v>
      </c>
      <c r="J201" s="2" t="s">
        <v>211</v>
      </c>
      <c r="K201" s="3">
        <v>33</v>
      </c>
      <c r="M201" s="2" t="s">
        <v>211</v>
      </c>
      <c r="N201" s="3">
        <v>3.8</v>
      </c>
    </row>
    <row r="202" spans="4:14" x14ac:dyDescent="0.25">
      <c r="D202" s="2" t="s">
        <v>206</v>
      </c>
      <c r="E202" s="3">
        <v>32</v>
      </c>
      <c r="G202" s="2" t="s">
        <v>212</v>
      </c>
      <c r="H202" s="3">
        <v>30</v>
      </c>
      <c r="J202" s="2" t="s">
        <v>212</v>
      </c>
      <c r="K202" s="3">
        <v>36.233333333333334</v>
      </c>
      <c r="M202" s="2" t="s">
        <v>212</v>
      </c>
      <c r="N202" s="3">
        <v>3.1111111111111112</v>
      </c>
    </row>
    <row r="203" spans="4:14" x14ac:dyDescent="0.25">
      <c r="D203" s="2" t="s">
        <v>207</v>
      </c>
      <c r="E203" s="3">
        <v>39</v>
      </c>
      <c r="G203" s="2" t="s">
        <v>213</v>
      </c>
      <c r="H203" s="3">
        <v>28</v>
      </c>
      <c r="J203" s="2" t="s">
        <v>213</v>
      </c>
      <c r="K203" s="3">
        <v>37.142857142857146</v>
      </c>
      <c r="M203" s="2" t="s">
        <v>213</v>
      </c>
      <c r="N203" s="3">
        <v>2.8333333333333335</v>
      </c>
    </row>
    <row r="204" spans="4:14" x14ac:dyDescent="0.25">
      <c r="D204" s="2" t="s">
        <v>208</v>
      </c>
      <c r="E204" s="3">
        <v>39</v>
      </c>
      <c r="G204" s="2" t="s">
        <v>214</v>
      </c>
      <c r="H204" s="3">
        <v>33</v>
      </c>
      <c r="J204" s="2" t="s">
        <v>214</v>
      </c>
      <c r="K204" s="3">
        <v>34.666666666666664</v>
      </c>
      <c r="M204" s="2" t="s">
        <v>214</v>
      </c>
      <c r="N204" s="3">
        <v>6.625</v>
      </c>
    </row>
    <row r="205" spans="4:14" x14ac:dyDescent="0.25">
      <c r="D205" s="2" t="s">
        <v>209</v>
      </c>
      <c r="E205" s="3">
        <v>30</v>
      </c>
      <c r="G205" s="2" t="s">
        <v>215</v>
      </c>
      <c r="H205" s="3">
        <v>30</v>
      </c>
      <c r="J205" s="2" t="s">
        <v>215</v>
      </c>
      <c r="K205" s="3">
        <v>36.033333333333331</v>
      </c>
      <c r="M205" s="2" t="s">
        <v>215</v>
      </c>
      <c r="N205" s="3">
        <v>3.5</v>
      </c>
    </row>
    <row r="206" spans="4:14" x14ac:dyDescent="0.25">
      <c r="D206" s="2" t="s">
        <v>210</v>
      </c>
      <c r="E206" s="3">
        <v>29</v>
      </c>
      <c r="G206" s="2" t="s">
        <v>216</v>
      </c>
      <c r="H206" s="3">
        <v>31</v>
      </c>
      <c r="J206" s="2" t="s">
        <v>216</v>
      </c>
      <c r="K206" s="3">
        <v>33.838709677419352</v>
      </c>
      <c r="M206" s="2" t="s">
        <v>216</v>
      </c>
      <c r="N206" s="3">
        <v>5.166666666666667</v>
      </c>
    </row>
    <row r="207" spans="4:14" x14ac:dyDescent="0.25">
      <c r="D207" s="2" t="s">
        <v>211</v>
      </c>
      <c r="E207" s="3">
        <v>34</v>
      </c>
      <c r="G207" s="2" t="s">
        <v>217</v>
      </c>
      <c r="H207" s="3">
        <v>27</v>
      </c>
      <c r="J207" s="2" t="s">
        <v>217</v>
      </c>
      <c r="K207" s="3">
        <v>34.592592592592595</v>
      </c>
      <c r="M207" s="2" t="s">
        <v>217</v>
      </c>
      <c r="N207" s="3">
        <v>5.333333333333333</v>
      </c>
    </row>
    <row r="208" spans="4:14" x14ac:dyDescent="0.25">
      <c r="D208" s="2" t="s">
        <v>212</v>
      </c>
      <c r="E208" s="3">
        <v>30</v>
      </c>
      <c r="G208" s="2" t="s">
        <v>218</v>
      </c>
      <c r="H208" s="3">
        <v>32</v>
      </c>
      <c r="J208" s="2" t="s">
        <v>218</v>
      </c>
      <c r="K208" s="3">
        <v>34.4375</v>
      </c>
      <c r="M208" s="2" t="s">
        <v>218</v>
      </c>
      <c r="N208" s="3">
        <v>4.875</v>
      </c>
    </row>
    <row r="209" spans="4:14" x14ac:dyDescent="0.25">
      <c r="D209" s="2" t="s">
        <v>213</v>
      </c>
      <c r="E209" s="3">
        <v>28</v>
      </c>
      <c r="G209" s="2" t="s">
        <v>219</v>
      </c>
      <c r="H209" s="3">
        <v>29</v>
      </c>
      <c r="J209" s="2" t="s">
        <v>219</v>
      </c>
      <c r="K209" s="3">
        <v>36.172413793103445</v>
      </c>
      <c r="M209" s="2" t="s">
        <v>219</v>
      </c>
      <c r="N209" s="3">
        <v>4.5</v>
      </c>
    </row>
    <row r="210" spans="4:14" x14ac:dyDescent="0.25">
      <c r="D210" s="2" t="s">
        <v>214</v>
      </c>
      <c r="E210" s="3">
        <v>33</v>
      </c>
      <c r="G210" s="2" t="s">
        <v>220</v>
      </c>
      <c r="H210" s="3">
        <v>29</v>
      </c>
      <c r="J210" s="2" t="s">
        <v>220</v>
      </c>
      <c r="K210" s="3">
        <v>34.758620689655174</v>
      </c>
      <c r="M210" s="2" t="s">
        <v>220</v>
      </c>
      <c r="N210" s="3">
        <v>4.625</v>
      </c>
    </row>
    <row r="211" spans="4:14" x14ac:dyDescent="0.25">
      <c r="D211" s="2" t="s">
        <v>215</v>
      </c>
      <c r="E211" s="3">
        <v>30</v>
      </c>
      <c r="G211" s="2" t="s">
        <v>221</v>
      </c>
      <c r="H211" s="3">
        <v>29</v>
      </c>
      <c r="J211" s="2" t="s">
        <v>221</v>
      </c>
      <c r="K211" s="3">
        <v>37.241379310344826</v>
      </c>
      <c r="M211" s="2" t="s">
        <v>221</v>
      </c>
      <c r="N211" s="3">
        <v>5</v>
      </c>
    </row>
    <row r="212" spans="4:14" x14ac:dyDescent="0.25">
      <c r="D212" s="2" t="s">
        <v>216</v>
      </c>
      <c r="E212" s="3">
        <v>31</v>
      </c>
      <c r="G212" s="2" t="s">
        <v>222</v>
      </c>
      <c r="H212" s="3">
        <v>30</v>
      </c>
      <c r="J212" s="2" t="s">
        <v>222</v>
      </c>
      <c r="K212" s="3">
        <v>33.9</v>
      </c>
      <c r="M212" s="2" t="s">
        <v>222</v>
      </c>
      <c r="N212" s="3">
        <v>6.8181818181818183</v>
      </c>
    </row>
    <row r="213" spans="4:14" x14ac:dyDescent="0.25">
      <c r="D213" s="2" t="s">
        <v>217</v>
      </c>
      <c r="E213" s="3">
        <v>27</v>
      </c>
      <c r="G213" s="2" t="s">
        <v>223</v>
      </c>
      <c r="H213" s="3">
        <v>32</v>
      </c>
      <c r="J213" s="2" t="s">
        <v>223</v>
      </c>
      <c r="K213" s="3">
        <v>35.4375</v>
      </c>
      <c r="M213" s="2" t="s">
        <v>223</v>
      </c>
      <c r="N213" s="3">
        <v>6.375</v>
      </c>
    </row>
    <row r="214" spans="4:14" x14ac:dyDescent="0.25">
      <c r="D214" s="2" t="s">
        <v>218</v>
      </c>
      <c r="E214" s="3">
        <v>32</v>
      </c>
      <c r="G214" s="2" t="s">
        <v>224</v>
      </c>
      <c r="H214" s="3">
        <v>39</v>
      </c>
      <c r="J214" s="2" t="s">
        <v>224</v>
      </c>
      <c r="K214" s="3">
        <v>36.820512820512818</v>
      </c>
      <c r="M214" s="2" t="s">
        <v>224</v>
      </c>
      <c r="N214" s="3">
        <v>4.615384615384615</v>
      </c>
    </row>
    <row r="215" spans="4:14" x14ac:dyDescent="0.25">
      <c r="D215" s="2" t="s">
        <v>219</v>
      </c>
      <c r="E215" s="3">
        <v>29</v>
      </c>
      <c r="G215" s="2" t="s">
        <v>225</v>
      </c>
      <c r="H215" s="3">
        <v>32</v>
      </c>
      <c r="J215" s="2" t="s">
        <v>225</v>
      </c>
      <c r="K215" s="3">
        <v>31.3125</v>
      </c>
      <c r="M215" s="2" t="s">
        <v>225</v>
      </c>
      <c r="N215" s="3">
        <v>5.5454545454545459</v>
      </c>
    </row>
    <row r="216" spans="4:14" x14ac:dyDescent="0.25">
      <c r="D216" s="2" t="s">
        <v>220</v>
      </c>
      <c r="E216" s="3">
        <v>29</v>
      </c>
      <c r="G216" s="2" t="s">
        <v>226</v>
      </c>
      <c r="H216" s="3">
        <v>31</v>
      </c>
      <c r="J216" s="2" t="s">
        <v>226</v>
      </c>
      <c r="K216" s="3">
        <v>39.064516129032256</v>
      </c>
      <c r="M216" s="2" t="s">
        <v>226</v>
      </c>
      <c r="N216" s="3">
        <v>6.9090909090909092</v>
      </c>
    </row>
    <row r="217" spans="4:14" x14ac:dyDescent="0.25">
      <c r="D217" s="2" t="s">
        <v>221</v>
      </c>
      <c r="E217" s="3">
        <v>29</v>
      </c>
      <c r="G217" s="2" t="s">
        <v>7</v>
      </c>
      <c r="H217" s="3">
        <v>42</v>
      </c>
      <c r="J217" s="2" t="s">
        <v>7</v>
      </c>
      <c r="K217" s="3">
        <v>35.428571428571431</v>
      </c>
      <c r="M217" s="2" t="s">
        <v>7</v>
      </c>
      <c r="N217" s="3">
        <v>5.2</v>
      </c>
    </row>
    <row r="218" spans="4:14" x14ac:dyDescent="0.25">
      <c r="D218" s="2" t="s">
        <v>222</v>
      </c>
      <c r="E218" s="3">
        <v>30</v>
      </c>
      <c r="G218" s="2" t="s">
        <v>8</v>
      </c>
      <c r="H218" s="3">
        <v>34</v>
      </c>
      <c r="J218" s="2" t="s">
        <v>8</v>
      </c>
      <c r="K218" s="3">
        <v>34.794117647058826</v>
      </c>
      <c r="M218" s="2" t="s">
        <v>8</v>
      </c>
      <c r="N218" s="3">
        <v>4.4444444444444446</v>
      </c>
    </row>
    <row r="219" spans="4:14" x14ac:dyDescent="0.25">
      <c r="D219" s="2" t="s">
        <v>223</v>
      </c>
      <c r="E219" s="3">
        <v>32</v>
      </c>
      <c r="G219" s="2" t="s">
        <v>9</v>
      </c>
      <c r="H219" s="3">
        <v>31</v>
      </c>
      <c r="J219" s="2" t="s">
        <v>9</v>
      </c>
      <c r="K219" s="3">
        <v>37.032258064516128</v>
      </c>
      <c r="M219" s="2" t="s">
        <v>9</v>
      </c>
      <c r="N219" s="3">
        <v>6.2727272727272725</v>
      </c>
    </row>
    <row r="220" spans="4:14" x14ac:dyDescent="0.25">
      <c r="D220" s="2" t="s">
        <v>224</v>
      </c>
      <c r="E220" s="3">
        <v>39</v>
      </c>
      <c r="G220" s="2" t="s">
        <v>10</v>
      </c>
      <c r="H220" s="3">
        <v>29</v>
      </c>
      <c r="J220" s="2" t="s">
        <v>10</v>
      </c>
      <c r="K220" s="3">
        <v>39.862068965517238</v>
      </c>
      <c r="M220" s="2" t="s">
        <v>10</v>
      </c>
      <c r="N220" s="3">
        <v>4.5999999999999996</v>
      </c>
    </row>
    <row r="221" spans="4:14" x14ac:dyDescent="0.25">
      <c r="D221" s="2" t="s">
        <v>225</v>
      </c>
      <c r="E221" s="3">
        <v>32</v>
      </c>
      <c r="G221" s="2" t="s">
        <v>11</v>
      </c>
      <c r="H221" s="3">
        <v>42</v>
      </c>
      <c r="J221" s="2" t="s">
        <v>11</v>
      </c>
      <c r="K221" s="3">
        <v>36.166666666666664</v>
      </c>
      <c r="M221" s="2" t="s">
        <v>11</v>
      </c>
      <c r="N221" s="3">
        <v>5.5</v>
      </c>
    </row>
    <row r="222" spans="4:14" x14ac:dyDescent="0.25">
      <c r="D222" s="2" t="s">
        <v>226</v>
      </c>
      <c r="E222" s="3">
        <v>31</v>
      </c>
      <c r="G222" s="2" t="s">
        <v>12</v>
      </c>
      <c r="H222" s="3">
        <v>22</v>
      </c>
      <c r="J222" s="2" t="s">
        <v>12</v>
      </c>
      <c r="K222" s="3">
        <v>30.40909090909091</v>
      </c>
      <c r="M222" s="2" t="s">
        <v>12</v>
      </c>
      <c r="N222" s="3">
        <v>5.4285714285714288</v>
      </c>
    </row>
    <row r="223" spans="4:14" x14ac:dyDescent="0.25">
      <c r="D223" s="2" t="s">
        <v>7</v>
      </c>
      <c r="E223" s="3">
        <v>42</v>
      </c>
      <c r="G223" s="2" t="s">
        <v>13</v>
      </c>
      <c r="H223" s="3">
        <v>28</v>
      </c>
      <c r="J223" s="2" t="s">
        <v>13</v>
      </c>
      <c r="K223" s="3">
        <v>40</v>
      </c>
      <c r="M223" s="2" t="s">
        <v>13</v>
      </c>
      <c r="N223" s="3">
        <v>9.5</v>
      </c>
    </row>
    <row r="224" spans="4:14" x14ac:dyDescent="0.25">
      <c r="D224" s="2" t="s">
        <v>8</v>
      </c>
      <c r="E224" s="3">
        <v>34</v>
      </c>
      <c r="G224" s="2" t="s">
        <v>14</v>
      </c>
      <c r="H224" s="3">
        <v>31</v>
      </c>
      <c r="J224" s="2" t="s">
        <v>14</v>
      </c>
      <c r="K224" s="3">
        <v>31.677419354838708</v>
      </c>
      <c r="M224" s="2" t="s">
        <v>14</v>
      </c>
      <c r="N224" s="3">
        <v>2.1666666666666665</v>
      </c>
    </row>
    <row r="225" spans="4:14" x14ac:dyDescent="0.25">
      <c r="D225" s="2" t="s">
        <v>9</v>
      </c>
      <c r="E225" s="3">
        <v>31</v>
      </c>
      <c r="G225" s="2" t="s">
        <v>15</v>
      </c>
      <c r="H225" s="3">
        <v>24</v>
      </c>
      <c r="J225" s="2" t="s">
        <v>15</v>
      </c>
      <c r="K225" s="3">
        <v>29.791666666666668</v>
      </c>
      <c r="M225" s="2" t="s">
        <v>15</v>
      </c>
      <c r="N225" s="3">
        <v>5.333333333333333</v>
      </c>
    </row>
    <row r="226" spans="4:14" x14ac:dyDescent="0.25">
      <c r="D226" s="2" t="s">
        <v>10</v>
      </c>
      <c r="E226" s="3">
        <v>29</v>
      </c>
      <c r="G226" s="2" t="s">
        <v>16</v>
      </c>
      <c r="H226" s="3">
        <v>48</v>
      </c>
      <c r="J226" s="2" t="s">
        <v>16</v>
      </c>
      <c r="K226" s="3">
        <v>36.833333333333336</v>
      </c>
      <c r="M226" s="2" t="s">
        <v>16</v>
      </c>
      <c r="N226" s="3">
        <v>4.1428571428571432</v>
      </c>
    </row>
    <row r="227" spans="4:14" x14ac:dyDescent="0.25">
      <c r="D227" s="2" t="s">
        <v>11</v>
      </c>
      <c r="E227" s="3">
        <v>42</v>
      </c>
      <c r="G227" s="2" t="s">
        <v>17</v>
      </c>
      <c r="H227" s="3">
        <v>32</v>
      </c>
      <c r="J227" s="2" t="s">
        <v>17</v>
      </c>
      <c r="K227" s="3">
        <v>33.96875</v>
      </c>
      <c r="M227" s="2" t="s">
        <v>17</v>
      </c>
      <c r="N227" s="3">
        <v>2.75</v>
      </c>
    </row>
    <row r="228" spans="4:14" x14ac:dyDescent="0.25">
      <c r="D228" s="2" t="s">
        <v>12</v>
      </c>
      <c r="E228" s="3">
        <v>22</v>
      </c>
      <c r="G228" s="2" t="s">
        <v>18</v>
      </c>
      <c r="H228" s="3">
        <v>37</v>
      </c>
      <c r="J228" s="2" t="s">
        <v>18</v>
      </c>
      <c r="K228" s="3">
        <v>35.864864864864863</v>
      </c>
      <c r="M228" s="2" t="s">
        <v>18</v>
      </c>
      <c r="N228" s="3">
        <v>4.4000000000000004</v>
      </c>
    </row>
    <row r="229" spans="4:14" x14ac:dyDescent="0.25">
      <c r="D229" s="2" t="s">
        <v>13</v>
      </c>
      <c r="E229" s="3">
        <v>28</v>
      </c>
      <c r="G229" s="2" t="s">
        <v>19</v>
      </c>
      <c r="H229" s="3">
        <v>30</v>
      </c>
      <c r="J229" s="2" t="s">
        <v>19</v>
      </c>
      <c r="K229" s="3">
        <v>37.833333333333336</v>
      </c>
      <c r="M229" s="2" t="s">
        <v>19</v>
      </c>
      <c r="N229" s="3">
        <v>5.5</v>
      </c>
    </row>
    <row r="230" spans="4:14" x14ac:dyDescent="0.25">
      <c r="D230" s="2" t="s">
        <v>14</v>
      </c>
      <c r="E230" s="3">
        <v>31</v>
      </c>
      <c r="G230" s="2" t="s">
        <v>20</v>
      </c>
      <c r="H230" s="3">
        <v>27</v>
      </c>
      <c r="J230" s="2" t="s">
        <v>20</v>
      </c>
      <c r="K230" s="3">
        <v>36.296296296296298</v>
      </c>
      <c r="M230" s="2" t="s">
        <v>20</v>
      </c>
      <c r="N230" s="3">
        <v>6.4</v>
      </c>
    </row>
    <row r="231" spans="4:14" x14ac:dyDescent="0.25">
      <c r="D231" s="2" t="s">
        <v>15</v>
      </c>
      <c r="E231" s="3">
        <v>24</v>
      </c>
      <c r="G231" s="2" t="s">
        <v>21</v>
      </c>
      <c r="H231" s="3">
        <v>32</v>
      </c>
      <c r="J231" s="2" t="s">
        <v>21</v>
      </c>
      <c r="K231" s="3">
        <v>36.375</v>
      </c>
      <c r="M231" s="2" t="s">
        <v>21</v>
      </c>
      <c r="N231" s="3">
        <v>5.25</v>
      </c>
    </row>
    <row r="232" spans="4:14" x14ac:dyDescent="0.25">
      <c r="D232" s="2" t="s">
        <v>16</v>
      </c>
      <c r="E232" s="3">
        <v>48</v>
      </c>
      <c r="G232" s="2" t="s">
        <v>22</v>
      </c>
      <c r="H232" s="3">
        <v>33</v>
      </c>
      <c r="J232" s="2" t="s">
        <v>22</v>
      </c>
      <c r="K232" s="3">
        <v>36</v>
      </c>
      <c r="M232" s="2" t="s">
        <v>22</v>
      </c>
      <c r="N232" s="3">
        <v>6</v>
      </c>
    </row>
    <row r="233" spans="4:14" x14ac:dyDescent="0.25">
      <c r="D233" s="2" t="s">
        <v>17</v>
      </c>
      <c r="E233" s="3">
        <v>32</v>
      </c>
      <c r="G233" s="2" t="s">
        <v>23</v>
      </c>
      <c r="H233" s="3">
        <v>37</v>
      </c>
      <c r="J233" s="2" t="s">
        <v>23</v>
      </c>
      <c r="K233" s="3">
        <v>37.189189189189186</v>
      </c>
      <c r="M233" s="2" t="s">
        <v>23</v>
      </c>
      <c r="N233" s="3">
        <v>5.1428571428571432</v>
      </c>
    </row>
    <row r="234" spans="4:14" x14ac:dyDescent="0.25">
      <c r="D234" s="2" t="s">
        <v>18</v>
      </c>
      <c r="E234" s="3">
        <v>37</v>
      </c>
      <c r="G234" s="2" t="s">
        <v>24</v>
      </c>
      <c r="H234" s="3">
        <v>33</v>
      </c>
      <c r="J234" s="2" t="s">
        <v>24</v>
      </c>
      <c r="K234" s="3">
        <v>34.666666666666664</v>
      </c>
      <c r="M234" s="2" t="s">
        <v>24</v>
      </c>
      <c r="N234" s="3">
        <v>5.25</v>
      </c>
    </row>
    <row r="235" spans="4:14" x14ac:dyDescent="0.25">
      <c r="D235" s="2" t="s">
        <v>19</v>
      </c>
      <c r="E235" s="3">
        <v>30</v>
      </c>
      <c r="G235" s="2" t="s">
        <v>25</v>
      </c>
      <c r="H235" s="3">
        <v>35</v>
      </c>
      <c r="J235" s="2" t="s">
        <v>25</v>
      </c>
      <c r="K235" s="3">
        <v>33</v>
      </c>
      <c r="M235" s="2" t="s">
        <v>25</v>
      </c>
      <c r="N235" s="3">
        <v>6</v>
      </c>
    </row>
    <row r="236" spans="4:14" x14ac:dyDescent="0.25">
      <c r="D236" s="2" t="s">
        <v>20</v>
      </c>
      <c r="E236" s="3">
        <v>27</v>
      </c>
      <c r="G236" s="2" t="s">
        <v>26</v>
      </c>
      <c r="H236" s="3">
        <v>45</v>
      </c>
      <c r="J236" s="2" t="s">
        <v>26</v>
      </c>
      <c r="K236" s="3">
        <v>39.777777777777779</v>
      </c>
      <c r="M236" s="2" t="s">
        <v>26</v>
      </c>
      <c r="N236" s="3">
        <v>5.4375</v>
      </c>
    </row>
    <row r="237" spans="4:14" x14ac:dyDescent="0.25">
      <c r="D237" s="2" t="s">
        <v>21</v>
      </c>
      <c r="E237" s="3">
        <v>32</v>
      </c>
      <c r="G237" s="2" t="s">
        <v>27</v>
      </c>
      <c r="H237" s="3">
        <v>26</v>
      </c>
      <c r="J237" s="2" t="s">
        <v>27</v>
      </c>
      <c r="K237" s="3">
        <v>33.57692307692308</v>
      </c>
      <c r="M237" s="2" t="s">
        <v>27</v>
      </c>
      <c r="N237" s="3">
        <v>4.5</v>
      </c>
    </row>
    <row r="238" spans="4:14" x14ac:dyDescent="0.25">
      <c r="D238" s="2" t="s">
        <v>22</v>
      </c>
      <c r="E238" s="3">
        <v>33</v>
      </c>
      <c r="G238" s="2" t="s">
        <v>28</v>
      </c>
      <c r="H238" s="3">
        <v>24</v>
      </c>
      <c r="J238" s="2" t="s">
        <v>28</v>
      </c>
      <c r="K238" s="3">
        <v>37.208333333333336</v>
      </c>
      <c r="M238" s="2" t="s">
        <v>28</v>
      </c>
      <c r="N238" s="3">
        <v>4.7142857142857144</v>
      </c>
    </row>
    <row r="239" spans="4:14" x14ac:dyDescent="0.25">
      <c r="D239" s="2" t="s">
        <v>23</v>
      </c>
      <c r="E239" s="3">
        <v>37</v>
      </c>
      <c r="G239" s="2" t="s">
        <v>29</v>
      </c>
      <c r="H239" s="3">
        <v>34</v>
      </c>
      <c r="J239" s="2" t="s">
        <v>29</v>
      </c>
      <c r="K239" s="3">
        <v>36.882352941176471</v>
      </c>
      <c r="M239" s="2" t="s">
        <v>29</v>
      </c>
      <c r="N239" s="3">
        <v>7.375</v>
      </c>
    </row>
    <row r="240" spans="4:14" x14ac:dyDescent="0.25">
      <c r="D240" s="2" t="s">
        <v>24</v>
      </c>
      <c r="E240" s="3">
        <v>33</v>
      </c>
      <c r="G240" s="2" t="s">
        <v>30</v>
      </c>
      <c r="H240" s="3">
        <v>31</v>
      </c>
      <c r="J240" s="2" t="s">
        <v>30</v>
      </c>
      <c r="K240" s="3">
        <v>37.612903225806448</v>
      </c>
      <c r="M240" s="2" t="s">
        <v>30</v>
      </c>
      <c r="N240" s="3">
        <v>4.1428571428571432</v>
      </c>
    </row>
    <row r="241" spans="4:14" x14ac:dyDescent="0.25">
      <c r="D241" s="2" t="s">
        <v>25</v>
      </c>
      <c r="E241" s="3">
        <v>35</v>
      </c>
      <c r="G241" s="2" t="s">
        <v>31</v>
      </c>
      <c r="H241" s="3">
        <v>42</v>
      </c>
      <c r="J241" s="2" t="s">
        <v>31</v>
      </c>
      <c r="K241" s="3">
        <v>33.357142857142854</v>
      </c>
      <c r="M241" s="2" t="s">
        <v>31</v>
      </c>
      <c r="N241" s="3">
        <v>5.2222222222222223</v>
      </c>
    </row>
    <row r="242" spans="4:14" x14ac:dyDescent="0.25">
      <c r="D242" s="2" t="s">
        <v>26</v>
      </c>
      <c r="E242" s="3">
        <v>45</v>
      </c>
      <c r="G242" s="2" t="s">
        <v>32</v>
      </c>
      <c r="H242" s="3">
        <v>31</v>
      </c>
      <c r="J242" s="2" t="s">
        <v>32</v>
      </c>
      <c r="K242" s="3">
        <v>33.967741935483872</v>
      </c>
      <c r="M242" s="2" t="s">
        <v>32</v>
      </c>
      <c r="N242" s="3">
        <v>3.375</v>
      </c>
    </row>
    <row r="243" spans="4:14" x14ac:dyDescent="0.25">
      <c r="D243" s="2" t="s">
        <v>27</v>
      </c>
      <c r="E243" s="3">
        <v>26</v>
      </c>
      <c r="G243" s="2" t="s">
        <v>33</v>
      </c>
      <c r="H243" s="3">
        <v>34</v>
      </c>
      <c r="J243" s="2" t="s">
        <v>33</v>
      </c>
      <c r="K243" s="3">
        <v>36.5</v>
      </c>
      <c r="M243" s="2" t="s">
        <v>33</v>
      </c>
      <c r="N243" s="3">
        <v>6</v>
      </c>
    </row>
    <row r="244" spans="4:14" x14ac:dyDescent="0.25">
      <c r="D244" s="2" t="s">
        <v>28</v>
      </c>
      <c r="E244" s="3">
        <v>24</v>
      </c>
      <c r="G244" s="2" t="s">
        <v>34</v>
      </c>
      <c r="H244" s="3">
        <v>38</v>
      </c>
      <c r="J244" s="2" t="s">
        <v>34</v>
      </c>
      <c r="K244" s="3">
        <v>35.55263157894737</v>
      </c>
      <c r="M244" s="2" t="s">
        <v>34</v>
      </c>
      <c r="N244" s="3">
        <v>5.6</v>
      </c>
    </row>
    <row r="245" spans="4:14" x14ac:dyDescent="0.25">
      <c r="D245" s="2" t="s">
        <v>29</v>
      </c>
      <c r="E245" s="3">
        <v>34</v>
      </c>
      <c r="G245" s="2" t="s">
        <v>35</v>
      </c>
      <c r="H245" s="3">
        <v>39</v>
      </c>
      <c r="J245" s="2" t="s">
        <v>35</v>
      </c>
      <c r="K245" s="3">
        <v>33.051282051282051</v>
      </c>
      <c r="M245" s="2" t="s">
        <v>35</v>
      </c>
      <c r="N245" s="3">
        <v>3.75</v>
      </c>
    </row>
    <row r="246" spans="4:14" x14ac:dyDescent="0.25">
      <c r="D246" s="2" t="s">
        <v>30</v>
      </c>
      <c r="E246" s="3">
        <v>31</v>
      </c>
      <c r="G246" s="2" t="s">
        <v>36</v>
      </c>
      <c r="H246" s="3">
        <v>25</v>
      </c>
      <c r="J246" s="2" t="s">
        <v>36</v>
      </c>
      <c r="K246" s="3">
        <v>36.68</v>
      </c>
      <c r="M246" s="2" t="s">
        <v>36</v>
      </c>
      <c r="N246" s="3">
        <v>4.8571428571428568</v>
      </c>
    </row>
    <row r="247" spans="4:14" x14ac:dyDescent="0.25">
      <c r="D247" s="2" t="s">
        <v>31</v>
      </c>
      <c r="E247" s="3">
        <v>42</v>
      </c>
      <c r="G247" s="2" t="s">
        <v>37</v>
      </c>
      <c r="H247" s="3">
        <v>28</v>
      </c>
      <c r="J247" s="2" t="s">
        <v>37</v>
      </c>
      <c r="K247" s="3">
        <v>37.714285714285715</v>
      </c>
      <c r="M247" s="2" t="s">
        <v>37</v>
      </c>
      <c r="N247" s="3">
        <v>5.5</v>
      </c>
    </row>
    <row r="248" spans="4:14" x14ac:dyDescent="0.25">
      <c r="D248" s="2" t="s">
        <v>32</v>
      </c>
      <c r="E248" s="3">
        <v>31</v>
      </c>
      <c r="G248" s="2" t="s">
        <v>38</v>
      </c>
      <c r="H248" s="3">
        <v>35</v>
      </c>
      <c r="J248" s="2" t="s">
        <v>38</v>
      </c>
      <c r="K248" s="3">
        <v>36.057142857142857</v>
      </c>
      <c r="M248" s="2" t="s">
        <v>38</v>
      </c>
      <c r="N248" s="3">
        <v>4</v>
      </c>
    </row>
    <row r="249" spans="4:14" x14ac:dyDescent="0.25">
      <c r="D249" s="2" t="s">
        <v>33</v>
      </c>
      <c r="E249" s="3">
        <v>34</v>
      </c>
      <c r="G249" s="2" t="s">
        <v>39</v>
      </c>
      <c r="H249" s="3">
        <v>35</v>
      </c>
      <c r="J249" s="2" t="s">
        <v>39</v>
      </c>
      <c r="K249" s="3">
        <v>35.828571428571429</v>
      </c>
      <c r="M249" s="2" t="s">
        <v>39</v>
      </c>
      <c r="N249" s="3">
        <v>4.625</v>
      </c>
    </row>
    <row r="250" spans="4:14" x14ac:dyDescent="0.25">
      <c r="D250" s="2" t="s">
        <v>34</v>
      </c>
      <c r="E250" s="3">
        <v>38</v>
      </c>
      <c r="G250" s="2" t="s">
        <v>40</v>
      </c>
      <c r="H250" s="3">
        <v>37</v>
      </c>
      <c r="J250" s="2" t="s">
        <v>40</v>
      </c>
      <c r="K250" s="3">
        <v>35.297297297297298</v>
      </c>
      <c r="M250" s="2" t="s">
        <v>40</v>
      </c>
      <c r="N250" s="3">
        <v>3.75</v>
      </c>
    </row>
    <row r="251" spans="4:14" x14ac:dyDescent="0.25">
      <c r="D251" s="2" t="s">
        <v>35</v>
      </c>
      <c r="E251" s="3">
        <v>39</v>
      </c>
      <c r="G251" s="2" t="s">
        <v>41</v>
      </c>
      <c r="H251" s="3">
        <v>31</v>
      </c>
      <c r="J251" s="2" t="s">
        <v>41</v>
      </c>
      <c r="K251" s="3">
        <v>33</v>
      </c>
      <c r="M251" s="2" t="s">
        <v>41</v>
      </c>
      <c r="N251" s="3">
        <v>6.333333333333333</v>
      </c>
    </row>
    <row r="252" spans="4:14" x14ac:dyDescent="0.25">
      <c r="D252" s="2" t="s">
        <v>36</v>
      </c>
      <c r="E252" s="3">
        <v>25</v>
      </c>
      <c r="G252" s="2" t="s">
        <v>42</v>
      </c>
      <c r="H252" s="3">
        <v>24</v>
      </c>
      <c r="J252" s="2" t="s">
        <v>42</v>
      </c>
      <c r="K252" s="3">
        <v>38.958333333333336</v>
      </c>
      <c r="M252" s="2" t="s">
        <v>42</v>
      </c>
      <c r="N252" s="3">
        <v>6.4</v>
      </c>
    </row>
    <row r="253" spans="4:14" x14ac:dyDescent="0.25">
      <c r="D253" s="2" t="s">
        <v>37</v>
      </c>
      <c r="E253" s="3">
        <v>28</v>
      </c>
      <c r="G253" s="2" t="s">
        <v>43</v>
      </c>
      <c r="H253" s="3">
        <v>28</v>
      </c>
      <c r="J253" s="2" t="s">
        <v>43</v>
      </c>
      <c r="K253" s="3">
        <v>37.428571428571431</v>
      </c>
      <c r="M253" s="2" t="s">
        <v>43</v>
      </c>
      <c r="N253" s="3">
        <v>5.0999999999999996</v>
      </c>
    </row>
    <row r="254" spans="4:14" x14ac:dyDescent="0.25">
      <c r="D254" s="2" t="s">
        <v>38</v>
      </c>
      <c r="E254" s="3">
        <v>35</v>
      </c>
      <c r="G254" s="2" t="s">
        <v>44</v>
      </c>
      <c r="H254" s="3">
        <v>29</v>
      </c>
      <c r="J254" s="2" t="s">
        <v>44</v>
      </c>
      <c r="K254" s="3">
        <v>36.068965517241381</v>
      </c>
      <c r="M254" s="2" t="s">
        <v>44</v>
      </c>
      <c r="N254" s="3">
        <v>4.1428571428571432</v>
      </c>
    </row>
    <row r="255" spans="4:14" x14ac:dyDescent="0.25">
      <c r="D255" s="2" t="s">
        <v>39</v>
      </c>
      <c r="E255" s="3">
        <v>35</v>
      </c>
      <c r="G255" s="2" t="s">
        <v>45</v>
      </c>
      <c r="H255" s="3">
        <v>34</v>
      </c>
      <c r="J255" s="2" t="s">
        <v>45</v>
      </c>
      <c r="K255" s="3">
        <v>32.235294117647058</v>
      </c>
      <c r="M255" s="2" t="s">
        <v>45</v>
      </c>
      <c r="N255" s="3">
        <v>5.8</v>
      </c>
    </row>
    <row r="256" spans="4:14" x14ac:dyDescent="0.25">
      <c r="D256" s="2" t="s">
        <v>40</v>
      </c>
      <c r="E256" s="3">
        <v>37</v>
      </c>
      <c r="G256" s="2" t="s">
        <v>46</v>
      </c>
      <c r="H256" s="3">
        <v>32</v>
      </c>
      <c r="J256" s="2" t="s">
        <v>46</v>
      </c>
      <c r="K256" s="3">
        <v>37.71875</v>
      </c>
      <c r="M256" s="2" t="s">
        <v>46</v>
      </c>
      <c r="N256" s="3">
        <v>3.8333333333333335</v>
      </c>
    </row>
    <row r="257" spans="4:14" x14ac:dyDescent="0.25">
      <c r="D257" s="2" t="s">
        <v>41</v>
      </c>
      <c r="E257" s="3">
        <v>31</v>
      </c>
      <c r="G257" s="2" t="s">
        <v>47</v>
      </c>
      <c r="H257" s="3">
        <v>29</v>
      </c>
      <c r="J257" s="2" t="s">
        <v>47</v>
      </c>
      <c r="K257" s="3">
        <v>31.275862068965516</v>
      </c>
      <c r="M257" s="2" t="s">
        <v>47</v>
      </c>
      <c r="N257" s="3">
        <v>4</v>
      </c>
    </row>
    <row r="258" spans="4:14" x14ac:dyDescent="0.25">
      <c r="D258" s="2" t="s">
        <v>42</v>
      </c>
      <c r="E258" s="3">
        <v>24</v>
      </c>
      <c r="G258" s="2" t="s">
        <v>48</v>
      </c>
      <c r="H258" s="3">
        <v>21</v>
      </c>
      <c r="J258" s="2" t="s">
        <v>48</v>
      </c>
      <c r="K258" s="3">
        <v>35.857142857142854</v>
      </c>
      <c r="M258" s="2" t="s">
        <v>48</v>
      </c>
      <c r="N258" s="3">
        <v>6.833333333333333</v>
      </c>
    </row>
    <row r="259" spans="4:14" x14ac:dyDescent="0.25">
      <c r="D259" s="2" t="s">
        <v>43</v>
      </c>
      <c r="E259" s="3">
        <v>28</v>
      </c>
      <c r="G259" s="2" t="s">
        <v>49</v>
      </c>
      <c r="H259" s="3">
        <v>29</v>
      </c>
      <c r="J259" s="2" t="s">
        <v>49</v>
      </c>
      <c r="K259" s="3">
        <v>33.068965517241381</v>
      </c>
      <c r="M259" s="2" t="s">
        <v>49</v>
      </c>
      <c r="N259" s="3">
        <v>4.833333333333333</v>
      </c>
    </row>
    <row r="260" spans="4:14" x14ac:dyDescent="0.25">
      <c r="D260" s="2" t="s">
        <v>44</v>
      </c>
      <c r="E260" s="3">
        <v>29</v>
      </c>
      <c r="G260" s="2" t="s">
        <v>50</v>
      </c>
      <c r="H260" s="3">
        <v>24</v>
      </c>
      <c r="J260" s="2" t="s">
        <v>50</v>
      </c>
      <c r="K260" s="3">
        <v>34.708333333333336</v>
      </c>
      <c r="M260" s="2" t="s">
        <v>50</v>
      </c>
      <c r="N260" s="3">
        <v>4</v>
      </c>
    </row>
    <row r="261" spans="4:14" x14ac:dyDescent="0.25">
      <c r="D261" s="2" t="s">
        <v>45</v>
      </c>
      <c r="E261" s="3">
        <v>34</v>
      </c>
      <c r="G261" s="2" t="s">
        <v>51</v>
      </c>
      <c r="H261" s="3">
        <v>28</v>
      </c>
      <c r="J261" s="2" t="s">
        <v>51</v>
      </c>
      <c r="K261" s="3">
        <v>35.357142857142854</v>
      </c>
      <c r="M261" s="2" t="s">
        <v>51</v>
      </c>
      <c r="N261" s="3">
        <v>5.7142857142857144</v>
      </c>
    </row>
    <row r="262" spans="4:14" x14ac:dyDescent="0.25">
      <c r="D262" s="2" t="s">
        <v>46</v>
      </c>
      <c r="E262" s="3">
        <v>32</v>
      </c>
      <c r="G262" s="2" t="s">
        <v>52</v>
      </c>
      <c r="H262" s="3">
        <v>44</v>
      </c>
      <c r="J262" s="2" t="s">
        <v>52</v>
      </c>
      <c r="K262" s="3">
        <v>37.613636363636367</v>
      </c>
      <c r="M262" s="2" t="s">
        <v>52</v>
      </c>
      <c r="N262" s="3">
        <v>4.384615384615385</v>
      </c>
    </row>
    <row r="263" spans="4:14" x14ac:dyDescent="0.25">
      <c r="D263" s="2" t="s">
        <v>47</v>
      </c>
      <c r="E263" s="3">
        <v>29</v>
      </c>
      <c r="G263" s="2" t="s">
        <v>53</v>
      </c>
      <c r="H263" s="3">
        <v>35</v>
      </c>
      <c r="J263" s="2" t="s">
        <v>53</v>
      </c>
      <c r="K263" s="3">
        <v>33.514285714285712</v>
      </c>
      <c r="M263" s="2" t="s">
        <v>53</v>
      </c>
      <c r="N263" s="3">
        <v>5.5</v>
      </c>
    </row>
    <row r="264" spans="4:14" x14ac:dyDescent="0.25">
      <c r="D264" s="2" t="s">
        <v>48</v>
      </c>
      <c r="E264" s="3">
        <v>21</v>
      </c>
      <c r="G264" s="2" t="s">
        <v>54</v>
      </c>
      <c r="H264" s="3">
        <v>38</v>
      </c>
      <c r="J264" s="2" t="s">
        <v>54</v>
      </c>
      <c r="K264" s="3">
        <v>32.131578947368418</v>
      </c>
      <c r="M264" s="2" t="s">
        <v>54</v>
      </c>
      <c r="N264" s="3">
        <v>5.8888888888888893</v>
      </c>
    </row>
    <row r="265" spans="4:14" x14ac:dyDescent="0.25">
      <c r="D265" s="2" t="s">
        <v>49</v>
      </c>
      <c r="E265" s="3">
        <v>29</v>
      </c>
      <c r="G265" s="2" t="s">
        <v>55</v>
      </c>
      <c r="H265" s="3">
        <v>28</v>
      </c>
      <c r="J265" s="2" t="s">
        <v>55</v>
      </c>
      <c r="K265" s="3">
        <v>37.571428571428569</v>
      </c>
      <c r="M265" s="2" t="s">
        <v>55</v>
      </c>
      <c r="N265" s="3">
        <v>6.1818181818181817</v>
      </c>
    </row>
    <row r="266" spans="4:14" x14ac:dyDescent="0.25">
      <c r="D266" s="2" t="s">
        <v>50</v>
      </c>
      <c r="E266" s="3">
        <v>24</v>
      </c>
      <c r="G266" s="2" t="s">
        <v>56</v>
      </c>
      <c r="H266" s="3">
        <v>34</v>
      </c>
      <c r="J266" s="2" t="s">
        <v>56</v>
      </c>
      <c r="K266" s="3">
        <v>31.911764705882351</v>
      </c>
      <c r="M266" s="2" t="s">
        <v>56</v>
      </c>
      <c r="N266" s="3">
        <v>4</v>
      </c>
    </row>
    <row r="267" spans="4:14" x14ac:dyDescent="0.25">
      <c r="D267" s="2" t="s">
        <v>51</v>
      </c>
      <c r="E267" s="3">
        <v>28</v>
      </c>
      <c r="G267" s="2" t="s">
        <v>57</v>
      </c>
      <c r="H267" s="3">
        <v>26</v>
      </c>
      <c r="J267" s="2" t="s">
        <v>57</v>
      </c>
      <c r="K267" s="3">
        <v>34.03846153846154</v>
      </c>
      <c r="M267" s="2" t="s">
        <v>57</v>
      </c>
      <c r="N267" s="3">
        <v>4.333333333333333</v>
      </c>
    </row>
    <row r="268" spans="4:14" x14ac:dyDescent="0.25">
      <c r="D268" s="2" t="s">
        <v>52</v>
      </c>
      <c r="E268" s="3">
        <v>44</v>
      </c>
      <c r="G268" s="2" t="s">
        <v>58</v>
      </c>
      <c r="H268" s="3">
        <v>36</v>
      </c>
      <c r="J268" s="2" t="s">
        <v>58</v>
      </c>
      <c r="K268" s="3">
        <v>33.722222222222221</v>
      </c>
      <c r="M268" s="2" t="s">
        <v>58</v>
      </c>
      <c r="N268" s="3">
        <v>4.8461538461538458</v>
      </c>
    </row>
    <row r="269" spans="4:14" x14ac:dyDescent="0.25">
      <c r="D269" s="2" t="s">
        <v>53</v>
      </c>
      <c r="E269" s="3">
        <v>35</v>
      </c>
      <c r="G269" s="2" t="s">
        <v>59</v>
      </c>
      <c r="H269" s="3">
        <v>32</v>
      </c>
      <c r="J269" s="2" t="s">
        <v>59</v>
      </c>
      <c r="K269" s="3">
        <v>31.5625</v>
      </c>
      <c r="M269" s="2" t="s">
        <v>59</v>
      </c>
      <c r="N269" s="3">
        <v>3</v>
      </c>
    </row>
    <row r="270" spans="4:14" x14ac:dyDescent="0.25">
      <c r="D270" s="2" t="s">
        <v>54</v>
      </c>
      <c r="E270" s="3">
        <v>38</v>
      </c>
      <c r="G270" s="2" t="s">
        <v>60</v>
      </c>
      <c r="H270" s="3">
        <v>25</v>
      </c>
      <c r="J270" s="2" t="s">
        <v>60</v>
      </c>
      <c r="K270" s="3">
        <v>37.24</v>
      </c>
      <c r="M270" s="2" t="s">
        <v>60</v>
      </c>
      <c r="N270" s="3">
        <v>3.8333333333333335</v>
      </c>
    </row>
    <row r="271" spans="4:14" x14ac:dyDescent="0.25">
      <c r="D271" s="2" t="s">
        <v>55</v>
      </c>
      <c r="E271" s="3">
        <v>28</v>
      </c>
      <c r="G271" s="2" t="s">
        <v>61</v>
      </c>
      <c r="H271" s="3">
        <v>30</v>
      </c>
      <c r="J271" s="2" t="s">
        <v>61</v>
      </c>
      <c r="K271" s="3">
        <v>34.9</v>
      </c>
      <c r="M271" s="2" t="s">
        <v>61</v>
      </c>
      <c r="N271" s="3">
        <v>6.5</v>
      </c>
    </row>
    <row r="272" spans="4:14" x14ac:dyDescent="0.25">
      <c r="D272" s="2" t="s">
        <v>56</v>
      </c>
      <c r="E272" s="3">
        <v>34</v>
      </c>
      <c r="G272" s="2" t="s">
        <v>62</v>
      </c>
      <c r="H272" s="3">
        <v>29</v>
      </c>
      <c r="J272" s="2" t="s">
        <v>62</v>
      </c>
      <c r="K272" s="3">
        <v>35.413793103448278</v>
      </c>
      <c r="M272" s="2" t="s">
        <v>62</v>
      </c>
      <c r="N272" s="3">
        <v>5.7</v>
      </c>
    </row>
    <row r="273" spans="4:14" x14ac:dyDescent="0.25">
      <c r="D273" s="2" t="s">
        <v>57</v>
      </c>
      <c r="E273" s="3">
        <v>26</v>
      </c>
      <c r="G273" s="2" t="s">
        <v>63</v>
      </c>
      <c r="H273" s="3">
        <v>32</v>
      </c>
      <c r="J273" s="2" t="s">
        <v>63</v>
      </c>
      <c r="K273" s="3">
        <v>33.5625</v>
      </c>
      <c r="M273" s="2" t="s">
        <v>63</v>
      </c>
      <c r="N273" s="3">
        <v>4.5714285714285712</v>
      </c>
    </row>
    <row r="274" spans="4:14" x14ac:dyDescent="0.25">
      <c r="D274" s="2" t="s">
        <v>58</v>
      </c>
      <c r="E274" s="3">
        <v>36</v>
      </c>
      <c r="G274" s="2" t="s">
        <v>64</v>
      </c>
      <c r="H274" s="3">
        <v>29</v>
      </c>
      <c r="J274" s="2" t="s">
        <v>64</v>
      </c>
      <c r="K274" s="3">
        <v>32.586206896551722</v>
      </c>
      <c r="M274" s="2" t="s">
        <v>64</v>
      </c>
      <c r="N274" s="3">
        <v>3.2727272727272729</v>
      </c>
    </row>
    <row r="275" spans="4:14" x14ac:dyDescent="0.25">
      <c r="D275" s="2" t="s">
        <v>59</v>
      </c>
      <c r="E275" s="3">
        <v>32</v>
      </c>
      <c r="G275" s="2" t="s">
        <v>65</v>
      </c>
      <c r="H275" s="3">
        <v>33</v>
      </c>
      <c r="J275" s="2" t="s">
        <v>65</v>
      </c>
      <c r="K275" s="3">
        <v>33.030303030303031</v>
      </c>
      <c r="M275" s="2" t="s">
        <v>65</v>
      </c>
      <c r="N275" s="3">
        <v>3</v>
      </c>
    </row>
    <row r="276" spans="4:14" x14ac:dyDescent="0.25">
      <c r="D276" s="2" t="s">
        <v>60</v>
      </c>
      <c r="E276" s="3">
        <v>25</v>
      </c>
      <c r="G276" s="2" t="s">
        <v>66</v>
      </c>
      <c r="H276" s="3">
        <v>32</v>
      </c>
      <c r="J276" s="2" t="s">
        <v>66</v>
      </c>
      <c r="K276" s="3">
        <v>33.25</v>
      </c>
      <c r="M276" s="2" t="s">
        <v>66</v>
      </c>
      <c r="N276" s="3">
        <v>7.2857142857142856</v>
      </c>
    </row>
    <row r="277" spans="4:14" x14ac:dyDescent="0.25">
      <c r="D277" s="2" t="s">
        <v>61</v>
      </c>
      <c r="E277" s="3">
        <v>30</v>
      </c>
      <c r="G277" s="2" t="s">
        <v>67</v>
      </c>
      <c r="H277" s="3">
        <v>36</v>
      </c>
      <c r="J277" s="2" t="s">
        <v>67</v>
      </c>
      <c r="K277" s="3">
        <v>36.611111111111114</v>
      </c>
      <c r="M277" s="2" t="s">
        <v>67</v>
      </c>
      <c r="N277" s="3">
        <v>5.7142857142857144</v>
      </c>
    </row>
    <row r="278" spans="4:14" x14ac:dyDescent="0.25">
      <c r="D278" s="2" t="s">
        <v>62</v>
      </c>
      <c r="E278" s="3">
        <v>29</v>
      </c>
      <c r="G278" s="2" t="s">
        <v>68</v>
      </c>
      <c r="H278" s="3">
        <v>35</v>
      </c>
      <c r="J278" s="2" t="s">
        <v>68</v>
      </c>
      <c r="K278" s="3">
        <v>36.971428571428568</v>
      </c>
      <c r="M278" s="2" t="s">
        <v>68</v>
      </c>
      <c r="N278" s="3">
        <v>4.833333333333333</v>
      </c>
    </row>
    <row r="279" spans="4:14" x14ac:dyDescent="0.25">
      <c r="D279" s="2" t="s">
        <v>63</v>
      </c>
      <c r="E279" s="3">
        <v>32</v>
      </c>
      <c r="G279" s="2" t="s">
        <v>69</v>
      </c>
      <c r="H279" s="3">
        <v>25</v>
      </c>
      <c r="J279" s="2" t="s">
        <v>69</v>
      </c>
      <c r="K279" s="3">
        <v>35.64</v>
      </c>
      <c r="M279" s="2" t="s">
        <v>69</v>
      </c>
      <c r="N279" s="3">
        <v>4.5</v>
      </c>
    </row>
    <row r="280" spans="4:14" x14ac:dyDescent="0.25">
      <c r="D280" s="2" t="s">
        <v>64</v>
      </c>
      <c r="E280" s="3">
        <v>29</v>
      </c>
      <c r="G280" s="2" t="s">
        <v>70</v>
      </c>
      <c r="H280" s="3">
        <v>33</v>
      </c>
      <c r="J280" s="2" t="s">
        <v>70</v>
      </c>
      <c r="K280" s="3">
        <v>34.454545454545453</v>
      </c>
      <c r="M280" s="2" t="s">
        <v>70</v>
      </c>
      <c r="N280" s="3">
        <v>3.6666666666666665</v>
      </c>
    </row>
    <row r="281" spans="4:14" x14ac:dyDescent="0.25">
      <c r="D281" s="2" t="s">
        <v>65</v>
      </c>
      <c r="E281" s="3">
        <v>33</v>
      </c>
      <c r="G281" s="2" t="s">
        <v>71</v>
      </c>
      <c r="H281" s="3">
        <v>34</v>
      </c>
      <c r="J281" s="2" t="s">
        <v>71</v>
      </c>
      <c r="K281" s="3">
        <v>37.088235294117645</v>
      </c>
      <c r="M281" s="2" t="s">
        <v>71</v>
      </c>
      <c r="N281" s="3">
        <v>5.4444444444444446</v>
      </c>
    </row>
    <row r="282" spans="4:14" x14ac:dyDescent="0.25">
      <c r="D282" s="2" t="s">
        <v>66</v>
      </c>
      <c r="E282" s="3">
        <v>32</v>
      </c>
      <c r="G282" s="2" t="s">
        <v>72</v>
      </c>
      <c r="H282" s="3">
        <v>30</v>
      </c>
      <c r="J282" s="2" t="s">
        <v>72</v>
      </c>
      <c r="K282" s="3">
        <v>27.933333333333334</v>
      </c>
      <c r="M282" s="2" t="s">
        <v>72</v>
      </c>
      <c r="N282" s="3">
        <v>4.2857142857142856</v>
      </c>
    </row>
    <row r="283" spans="4:14" x14ac:dyDescent="0.25">
      <c r="D283" s="2" t="s">
        <v>67</v>
      </c>
      <c r="E283" s="3">
        <v>36</v>
      </c>
      <c r="G283" s="2" t="s">
        <v>73</v>
      </c>
      <c r="H283" s="3">
        <v>26</v>
      </c>
      <c r="J283" s="2" t="s">
        <v>73</v>
      </c>
      <c r="K283" s="3">
        <v>33.884615384615387</v>
      </c>
      <c r="M283" s="2" t="s">
        <v>73</v>
      </c>
      <c r="N283" s="3">
        <v>3.3333333333333335</v>
      </c>
    </row>
    <row r="284" spans="4:14" x14ac:dyDescent="0.25">
      <c r="D284" s="2" t="s">
        <v>68</v>
      </c>
      <c r="E284" s="3">
        <v>35</v>
      </c>
      <c r="G284" s="2" t="s">
        <v>74</v>
      </c>
      <c r="H284" s="3">
        <v>29</v>
      </c>
      <c r="J284" s="2" t="s">
        <v>74</v>
      </c>
      <c r="K284" s="3">
        <v>33.827586206896555</v>
      </c>
      <c r="M284" s="2" t="s">
        <v>74</v>
      </c>
      <c r="N284" s="3">
        <v>7.1428571428571432</v>
      </c>
    </row>
    <row r="285" spans="4:14" x14ac:dyDescent="0.25">
      <c r="D285" s="2" t="s">
        <v>69</v>
      </c>
      <c r="E285" s="3">
        <v>25</v>
      </c>
      <c r="G285" s="2" t="s">
        <v>75</v>
      </c>
      <c r="H285" s="3">
        <v>26</v>
      </c>
      <c r="J285" s="2" t="s">
        <v>75</v>
      </c>
      <c r="K285" s="3">
        <v>31.576923076923077</v>
      </c>
      <c r="M285" s="2" t="s">
        <v>75</v>
      </c>
      <c r="N285" s="3">
        <v>4</v>
      </c>
    </row>
    <row r="286" spans="4:14" x14ac:dyDescent="0.25">
      <c r="D286" s="2" t="s">
        <v>70</v>
      </c>
      <c r="E286" s="3">
        <v>33</v>
      </c>
      <c r="G286" s="2" t="s">
        <v>76</v>
      </c>
      <c r="H286" s="3">
        <v>37</v>
      </c>
      <c r="J286" s="2" t="s">
        <v>76</v>
      </c>
      <c r="K286" s="3">
        <v>33.270270270270274</v>
      </c>
      <c r="M286" s="2" t="s">
        <v>76</v>
      </c>
      <c r="N286" s="3">
        <v>5</v>
      </c>
    </row>
    <row r="287" spans="4:14" x14ac:dyDescent="0.25">
      <c r="D287" s="2" t="s">
        <v>71</v>
      </c>
      <c r="E287" s="3">
        <v>34</v>
      </c>
      <c r="G287" s="2" t="s">
        <v>77</v>
      </c>
      <c r="H287" s="3">
        <v>22</v>
      </c>
      <c r="J287" s="2" t="s">
        <v>77</v>
      </c>
      <c r="K287" s="3">
        <v>36.5</v>
      </c>
      <c r="M287" s="2" t="s">
        <v>77</v>
      </c>
      <c r="N287" s="3">
        <v>8.5</v>
      </c>
    </row>
    <row r="288" spans="4:14" x14ac:dyDescent="0.25">
      <c r="D288" s="2" t="s">
        <v>72</v>
      </c>
      <c r="E288" s="3">
        <v>30</v>
      </c>
      <c r="G288" s="2" t="s">
        <v>78</v>
      </c>
      <c r="H288" s="3">
        <v>43</v>
      </c>
      <c r="J288" s="2" t="s">
        <v>78</v>
      </c>
      <c r="K288" s="3">
        <v>34.093023255813954</v>
      </c>
      <c r="M288" s="2" t="s">
        <v>78</v>
      </c>
      <c r="N288" s="3">
        <v>5.3636363636363633</v>
      </c>
    </row>
    <row r="289" spans="4:14" x14ac:dyDescent="0.25">
      <c r="D289" s="2" t="s">
        <v>73</v>
      </c>
      <c r="E289" s="3">
        <v>26</v>
      </c>
      <c r="G289" s="2" t="s">
        <v>79</v>
      </c>
      <c r="H289" s="3">
        <v>37</v>
      </c>
      <c r="J289" s="2" t="s">
        <v>79</v>
      </c>
      <c r="K289" s="3">
        <v>39.216216216216218</v>
      </c>
      <c r="M289" s="2" t="s">
        <v>79</v>
      </c>
      <c r="N289" s="3">
        <v>3.2222222222222223</v>
      </c>
    </row>
    <row r="290" spans="4:14" x14ac:dyDescent="0.25">
      <c r="D290" s="2" t="s">
        <v>74</v>
      </c>
      <c r="E290" s="3">
        <v>29</v>
      </c>
      <c r="G290" s="2" t="s">
        <v>80</v>
      </c>
      <c r="H290" s="3">
        <v>34</v>
      </c>
      <c r="J290" s="2" t="s">
        <v>80</v>
      </c>
      <c r="K290" s="3">
        <v>35.676470588235297</v>
      </c>
      <c r="M290" s="2" t="s">
        <v>80</v>
      </c>
      <c r="N290" s="3">
        <v>3.8888888888888888</v>
      </c>
    </row>
    <row r="291" spans="4:14" x14ac:dyDescent="0.25">
      <c r="D291" s="2" t="s">
        <v>75</v>
      </c>
      <c r="E291" s="3">
        <v>26</v>
      </c>
      <c r="G291" s="2" t="s">
        <v>81</v>
      </c>
      <c r="H291" s="3">
        <v>31</v>
      </c>
      <c r="J291" s="2" t="s">
        <v>81</v>
      </c>
      <c r="K291" s="3">
        <v>34.354838709677416</v>
      </c>
      <c r="M291" s="2" t="s">
        <v>81</v>
      </c>
      <c r="N291" s="3">
        <v>5.4615384615384617</v>
      </c>
    </row>
    <row r="292" spans="4:14" x14ac:dyDescent="0.25">
      <c r="D292" s="2" t="s">
        <v>76</v>
      </c>
      <c r="E292" s="3">
        <v>37</v>
      </c>
      <c r="G292" s="2" t="s">
        <v>82</v>
      </c>
      <c r="H292" s="3">
        <v>25</v>
      </c>
      <c r="J292" s="2" t="s">
        <v>82</v>
      </c>
      <c r="K292" s="3">
        <v>38.56</v>
      </c>
      <c r="M292" s="2" t="s">
        <v>82</v>
      </c>
      <c r="N292" s="3">
        <v>5.9090909090909092</v>
      </c>
    </row>
    <row r="293" spans="4:14" x14ac:dyDescent="0.25">
      <c r="D293" s="2" t="s">
        <v>77</v>
      </c>
      <c r="E293" s="3">
        <v>22</v>
      </c>
      <c r="G293" s="2" t="s">
        <v>83</v>
      </c>
      <c r="H293" s="3">
        <v>26</v>
      </c>
      <c r="J293" s="2" t="s">
        <v>83</v>
      </c>
      <c r="K293" s="3">
        <v>28.76923076923077</v>
      </c>
      <c r="M293" s="2" t="s">
        <v>83</v>
      </c>
      <c r="N293" s="3">
        <v>6.625</v>
      </c>
    </row>
    <row r="294" spans="4:14" x14ac:dyDescent="0.25">
      <c r="D294" s="2" t="s">
        <v>78</v>
      </c>
      <c r="E294" s="3">
        <v>43</v>
      </c>
      <c r="G294" s="2" t="s">
        <v>84</v>
      </c>
      <c r="H294" s="3">
        <v>28</v>
      </c>
      <c r="J294" s="2" t="s">
        <v>84</v>
      </c>
      <c r="K294" s="3">
        <v>33.571428571428569</v>
      </c>
      <c r="M294" s="2" t="s">
        <v>84</v>
      </c>
      <c r="N294" s="3">
        <v>6.4545454545454541</v>
      </c>
    </row>
    <row r="295" spans="4:14" x14ac:dyDescent="0.25">
      <c r="D295" s="2" t="s">
        <v>79</v>
      </c>
      <c r="E295" s="3">
        <v>37</v>
      </c>
      <c r="G295" s="2" t="s">
        <v>85</v>
      </c>
      <c r="H295" s="3">
        <v>43</v>
      </c>
      <c r="J295" s="2" t="s">
        <v>85</v>
      </c>
      <c r="K295" s="3">
        <v>33.534883720930232</v>
      </c>
      <c r="M295" s="2" t="s">
        <v>85</v>
      </c>
      <c r="N295" s="3">
        <v>5.166666666666667</v>
      </c>
    </row>
    <row r="296" spans="4:14" x14ac:dyDescent="0.25">
      <c r="D296" s="2" t="s">
        <v>80</v>
      </c>
      <c r="E296" s="3">
        <v>34</v>
      </c>
      <c r="G296" s="2" t="s">
        <v>86</v>
      </c>
      <c r="H296" s="3">
        <v>33</v>
      </c>
      <c r="J296" s="2" t="s">
        <v>86</v>
      </c>
      <c r="K296" s="3">
        <v>39.515151515151516</v>
      </c>
      <c r="M296" s="2" t="s">
        <v>86</v>
      </c>
      <c r="N296" s="3">
        <v>6.7</v>
      </c>
    </row>
    <row r="297" spans="4:14" x14ac:dyDescent="0.25">
      <c r="D297" s="2" t="s">
        <v>81</v>
      </c>
      <c r="E297" s="3">
        <v>31</v>
      </c>
      <c r="G297" s="2" t="s">
        <v>87</v>
      </c>
      <c r="H297" s="3">
        <v>42</v>
      </c>
      <c r="J297" s="2" t="s">
        <v>87</v>
      </c>
      <c r="K297" s="3">
        <v>32.714285714285715</v>
      </c>
      <c r="M297" s="2" t="s">
        <v>87</v>
      </c>
      <c r="N297" s="3">
        <v>3.75</v>
      </c>
    </row>
    <row r="298" spans="4:14" x14ac:dyDescent="0.25">
      <c r="D298" s="2" t="s">
        <v>82</v>
      </c>
      <c r="E298" s="3">
        <v>25</v>
      </c>
      <c r="G298" s="2" t="s">
        <v>88</v>
      </c>
      <c r="H298" s="3">
        <v>35</v>
      </c>
      <c r="J298" s="2" t="s">
        <v>88</v>
      </c>
      <c r="K298" s="3">
        <v>30.62857142857143</v>
      </c>
      <c r="M298" s="2" t="s">
        <v>88</v>
      </c>
      <c r="N298" s="3">
        <v>4.8461538461538458</v>
      </c>
    </row>
    <row r="299" spans="4:14" x14ac:dyDescent="0.25">
      <c r="D299" s="2" t="s">
        <v>83</v>
      </c>
      <c r="E299" s="3">
        <v>26</v>
      </c>
      <c r="G299" s="2" t="s">
        <v>89</v>
      </c>
      <c r="H299" s="3">
        <v>35</v>
      </c>
      <c r="J299" s="2" t="s">
        <v>89</v>
      </c>
      <c r="K299" s="3">
        <v>36.914285714285711</v>
      </c>
      <c r="M299" s="2" t="s">
        <v>89</v>
      </c>
      <c r="N299" s="3">
        <v>4.6363636363636367</v>
      </c>
    </row>
    <row r="300" spans="4:14" x14ac:dyDescent="0.25">
      <c r="D300" s="2" t="s">
        <v>84</v>
      </c>
      <c r="E300" s="3">
        <v>28</v>
      </c>
      <c r="G300" s="2" t="s">
        <v>90</v>
      </c>
      <c r="H300" s="3">
        <v>31</v>
      </c>
      <c r="J300" s="2" t="s">
        <v>90</v>
      </c>
      <c r="K300" s="3">
        <v>41.064516129032256</v>
      </c>
      <c r="M300" s="2" t="s">
        <v>90</v>
      </c>
      <c r="N300" s="3">
        <v>5.1111111111111107</v>
      </c>
    </row>
    <row r="301" spans="4:14" x14ac:dyDescent="0.25">
      <c r="D301" s="2" t="s">
        <v>85</v>
      </c>
      <c r="E301" s="3">
        <v>43</v>
      </c>
      <c r="G301" s="2" t="s">
        <v>91</v>
      </c>
      <c r="H301" s="3">
        <v>31</v>
      </c>
      <c r="J301" s="2" t="s">
        <v>91</v>
      </c>
      <c r="K301" s="3">
        <v>32.58064516129032</v>
      </c>
      <c r="M301" s="2" t="s">
        <v>91</v>
      </c>
      <c r="N301" s="3">
        <v>7.375</v>
      </c>
    </row>
    <row r="302" spans="4:14" x14ac:dyDescent="0.25">
      <c r="D302" s="2" t="s">
        <v>86</v>
      </c>
      <c r="E302" s="3">
        <v>33</v>
      </c>
      <c r="G302" s="2" t="s">
        <v>92</v>
      </c>
      <c r="H302" s="3">
        <v>33</v>
      </c>
      <c r="J302" s="2" t="s">
        <v>92</v>
      </c>
      <c r="K302" s="3">
        <v>31.393939393939394</v>
      </c>
      <c r="M302" s="2" t="s">
        <v>92</v>
      </c>
      <c r="N302" s="3">
        <v>4.4444444444444446</v>
      </c>
    </row>
    <row r="303" spans="4:14" x14ac:dyDescent="0.25">
      <c r="D303" s="2" t="s">
        <v>87</v>
      </c>
      <c r="E303" s="3">
        <v>42</v>
      </c>
      <c r="G303" s="2" t="s">
        <v>93</v>
      </c>
      <c r="H303" s="3">
        <v>33</v>
      </c>
      <c r="J303" s="2" t="s">
        <v>93</v>
      </c>
      <c r="K303" s="3">
        <v>29.363636363636363</v>
      </c>
      <c r="M303" s="2" t="s">
        <v>93</v>
      </c>
      <c r="N303" s="3">
        <v>3.8888888888888888</v>
      </c>
    </row>
    <row r="304" spans="4:14" x14ac:dyDescent="0.25">
      <c r="D304" s="2" t="s">
        <v>88</v>
      </c>
      <c r="E304" s="3">
        <v>35</v>
      </c>
      <c r="G304" s="2" t="s">
        <v>94</v>
      </c>
      <c r="H304" s="3">
        <v>20</v>
      </c>
      <c r="J304" s="2" t="s">
        <v>94</v>
      </c>
      <c r="K304" s="3">
        <v>35.4</v>
      </c>
      <c r="M304" s="2" t="s">
        <v>94</v>
      </c>
      <c r="N304" s="3">
        <v>5.8888888888888893</v>
      </c>
    </row>
    <row r="305" spans="4:14" x14ac:dyDescent="0.25">
      <c r="D305" s="2" t="s">
        <v>89</v>
      </c>
      <c r="E305" s="3">
        <v>35</v>
      </c>
      <c r="G305" s="2" t="s">
        <v>95</v>
      </c>
      <c r="H305" s="3">
        <v>29</v>
      </c>
      <c r="J305" s="2" t="s">
        <v>95</v>
      </c>
      <c r="K305" s="3">
        <v>35.655172413793103</v>
      </c>
      <c r="M305" s="2" t="s">
        <v>95</v>
      </c>
      <c r="N305" s="3">
        <v>4</v>
      </c>
    </row>
    <row r="306" spans="4:14" x14ac:dyDescent="0.25">
      <c r="D306" s="2" t="s">
        <v>90</v>
      </c>
      <c r="E306" s="3">
        <v>31</v>
      </c>
      <c r="G306" s="2" t="s">
        <v>96</v>
      </c>
      <c r="H306" s="3">
        <v>27</v>
      </c>
      <c r="J306" s="2" t="s">
        <v>96</v>
      </c>
      <c r="K306" s="3">
        <v>40.481481481481481</v>
      </c>
      <c r="M306" s="2" t="s">
        <v>96</v>
      </c>
      <c r="N306" s="3">
        <v>3.75</v>
      </c>
    </row>
    <row r="307" spans="4:14" x14ac:dyDescent="0.25">
      <c r="D307" s="2" t="s">
        <v>91</v>
      </c>
      <c r="E307" s="3">
        <v>31</v>
      </c>
      <c r="G307" s="2" t="s">
        <v>97</v>
      </c>
      <c r="H307" s="3">
        <v>31</v>
      </c>
      <c r="J307" s="2" t="s">
        <v>97</v>
      </c>
      <c r="K307" s="3">
        <v>31.193548387096776</v>
      </c>
      <c r="M307" s="2" t="s">
        <v>97</v>
      </c>
      <c r="N307" s="3">
        <v>4.625</v>
      </c>
    </row>
    <row r="308" spans="4:14" x14ac:dyDescent="0.25">
      <c r="D308" s="2" t="s">
        <v>92</v>
      </c>
      <c r="E308" s="3">
        <v>33</v>
      </c>
      <c r="G308" s="2" t="s">
        <v>341</v>
      </c>
      <c r="H308" s="3">
        <v>20</v>
      </c>
      <c r="J308" s="2" t="s">
        <v>341</v>
      </c>
      <c r="K308" s="3">
        <v>35.049999999999997</v>
      </c>
      <c r="M308" s="2" t="s">
        <v>341</v>
      </c>
      <c r="N308" s="3">
        <v>5</v>
      </c>
    </row>
    <row r="309" spans="4:14" x14ac:dyDescent="0.25">
      <c r="D309" s="2" t="s">
        <v>93</v>
      </c>
      <c r="E309" s="3">
        <v>33</v>
      </c>
      <c r="G309" s="2" t="s">
        <v>342</v>
      </c>
      <c r="H309" s="3">
        <v>17</v>
      </c>
      <c r="J309" s="2" t="s">
        <v>342</v>
      </c>
      <c r="K309" s="3">
        <v>35.117647058823529</v>
      </c>
      <c r="M309" s="2" t="s">
        <v>342</v>
      </c>
      <c r="N309" s="3">
        <v>4.666666666666667</v>
      </c>
    </row>
    <row r="310" spans="4:14" x14ac:dyDescent="0.25">
      <c r="D310" s="2" t="s">
        <v>94</v>
      </c>
      <c r="E310" s="3">
        <v>20</v>
      </c>
      <c r="G310" s="2" t="s">
        <v>343</v>
      </c>
      <c r="H310" s="3">
        <v>12</v>
      </c>
      <c r="J310" s="2" t="s">
        <v>343</v>
      </c>
      <c r="K310" s="3">
        <v>28.916666666666668</v>
      </c>
      <c r="M310" s="2" t="s">
        <v>343</v>
      </c>
      <c r="N310" s="3">
        <v>4.666666666666667</v>
      </c>
    </row>
    <row r="311" spans="4:14" x14ac:dyDescent="0.25">
      <c r="D311" s="2" t="s">
        <v>95</v>
      </c>
      <c r="E311" s="3">
        <v>29</v>
      </c>
      <c r="G311" s="2" t="s">
        <v>344</v>
      </c>
      <c r="H311" s="3">
        <v>14</v>
      </c>
      <c r="J311" s="2" t="s">
        <v>344</v>
      </c>
      <c r="K311" s="3">
        <v>34.357142857142854</v>
      </c>
      <c r="M311" s="2" t="s">
        <v>344</v>
      </c>
      <c r="N311" s="3">
        <v>5.4</v>
      </c>
    </row>
    <row r="312" spans="4:14" x14ac:dyDescent="0.25">
      <c r="D312" s="2" t="s">
        <v>96</v>
      </c>
      <c r="E312" s="3">
        <v>27</v>
      </c>
      <c r="G312" s="2" t="s">
        <v>345</v>
      </c>
      <c r="H312" s="3">
        <v>17</v>
      </c>
      <c r="J312" s="2" t="s">
        <v>345</v>
      </c>
      <c r="K312" s="3">
        <v>29.705882352941178</v>
      </c>
      <c r="M312" s="2" t="s">
        <v>345</v>
      </c>
      <c r="N312" s="3">
        <v>5.2</v>
      </c>
    </row>
    <row r="313" spans="4:14" x14ac:dyDescent="0.25">
      <c r="D313" s="2" t="s">
        <v>97</v>
      </c>
      <c r="E313" s="3">
        <v>31</v>
      </c>
      <c r="G313" s="2" t="s">
        <v>346</v>
      </c>
      <c r="H313" s="3">
        <v>17</v>
      </c>
      <c r="J313" s="2" t="s">
        <v>346</v>
      </c>
      <c r="K313" s="3">
        <v>33.176470588235297</v>
      </c>
      <c r="M313" s="2" t="s">
        <v>346</v>
      </c>
      <c r="N313" s="3">
        <v>2.4285714285714284</v>
      </c>
    </row>
    <row r="314" spans="4:14" x14ac:dyDescent="0.25">
      <c r="D314" s="2" t="s">
        <v>341</v>
      </c>
      <c r="E314" s="3">
        <v>20</v>
      </c>
      <c r="G314" s="2" t="s">
        <v>347</v>
      </c>
      <c r="H314" s="3">
        <v>16</v>
      </c>
      <c r="J314" s="2" t="s">
        <v>347</v>
      </c>
      <c r="K314" s="3">
        <v>39.8125</v>
      </c>
      <c r="M314" s="2" t="s">
        <v>347</v>
      </c>
      <c r="N314" s="3">
        <v>4.8</v>
      </c>
    </row>
    <row r="315" spans="4:14" x14ac:dyDescent="0.25">
      <c r="D315" s="2" t="s">
        <v>342</v>
      </c>
      <c r="E315" s="3">
        <v>17</v>
      </c>
      <c r="G315" s="2" t="s">
        <v>348</v>
      </c>
      <c r="H315" s="3">
        <v>19</v>
      </c>
      <c r="J315" s="2" t="s">
        <v>348</v>
      </c>
      <c r="K315" s="3">
        <v>36.578947368421055</v>
      </c>
      <c r="M315" s="2" t="s">
        <v>348</v>
      </c>
      <c r="N315" s="3">
        <v>6.5714285714285712</v>
      </c>
    </row>
    <row r="316" spans="4:14" x14ac:dyDescent="0.25">
      <c r="D316" s="2" t="s">
        <v>343</v>
      </c>
      <c r="E316" s="3">
        <v>12</v>
      </c>
      <c r="G316" s="2" t="s">
        <v>349</v>
      </c>
      <c r="H316" s="3">
        <v>14</v>
      </c>
      <c r="J316" s="2" t="s">
        <v>349</v>
      </c>
      <c r="K316" s="3">
        <v>34.5</v>
      </c>
      <c r="M316" s="2" t="s">
        <v>349</v>
      </c>
      <c r="N316" s="3">
        <v>3</v>
      </c>
    </row>
    <row r="317" spans="4:14" x14ac:dyDescent="0.25">
      <c r="D317" s="2" t="s">
        <v>344</v>
      </c>
      <c r="E317" s="3">
        <v>14</v>
      </c>
      <c r="G317" s="2" t="s">
        <v>350</v>
      </c>
      <c r="H317" s="3">
        <v>17</v>
      </c>
      <c r="J317" s="2" t="s">
        <v>350</v>
      </c>
      <c r="K317" s="3">
        <v>39.764705882352942</v>
      </c>
      <c r="M317" s="2" t="s">
        <v>350</v>
      </c>
      <c r="N317" s="3">
        <v>4.5999999999999996</v>
      </c>
    </row>
    <row r="318" spans="4:14" x14ac:dyDescent="0.25">
      <c r="D318" s="2" t="s">
        <v>345</v>
      </c>
      <c r="E318" s="3">
        <v>17</v>
      </c>
      <c r="G318" s="2" t="s">
        <v>351</v>
      </c>
      <c r="H318" s="3">
        <v>13</v>
      </c>
      <c r="J318" s="2" t="s">
        <v>351</v>
      </c>
      <c r="K318" s="3">
        <v>35.230769230769234</v>
      </c>
      <c r="M318" s="2" t="s">
        <v>351</v>
      </c>
      <c r="N318" s="3">
        <v>3.875</v>
      </c>
    </row>
    <row r="319" spans="4:14" x14ac:dyDescent="0.25">
      <c r="D319" s="2" t="s">
        <v>346</v>
      </c>
      <c r="E319" s="3">
        <v>17</v>
      </c>
      <c r="G319" s="2" t="s">
        <v>352</v>
      </c>
      <c r="H319" s="3">
        <v>12</v>
      </c>
      <c r="J319" s="2" t="s">
        <v>352</v>
      </c>
      <c r="K319" s="3">
        <v>41.5</v>
      </c>
      <c r="M319" s="2" t="s">
        <v>352</v>
      </c>
      <c r="N319" s="3">
        <v>7.25</v>
      </c>
    </row>
    <row r="320" spans="4:14" x14ac:dyDescent="0.25">
      <c r="D320" s="2" t="s">
        <v>347</v>
      </c>
      <c r="E320" s="3">
        <v>16</v>
      </c>
      <c r="G320" s="2" t="s">
        <v>353</v>
      </c>
      <c r="H320" s="3">
        <v>16</v>
      </c>
      <c r="J320" s="2" t="s">
        <v>353</v>
      </c>
      <c r="K320" s="3">
        <v>38.0625</v>
      </c>
      <c r="M320" s="2" t="s">
        <v>353</v>
      </c>
      <c r="N320" s="3">
        <v>3</v>
      </c>
    </row>
    <row r="321" spans="4:14" x14ac:dyDescent="0.25">
      <c r="D321" s="2" t="s">
        <v>348</v>
      </c>
      <c r="E321" s="3">
        <v>19</v>
      </c>
      <c r="G321" s="2" t="s">
        <v>354</v>
      </c>
      <c r="H321" s="3">
        <v>9</v>
      </c>
      <c r="J321" s="2" t="s">
        <v>354</v>
      </c>
      <c r="K321" s="3">
        <v>29.222222222222221</v>
      </c>
      <c r="M321" s="2" t="s">
        <v>354</v>
      </c>
      <c r="N321" s="3">
        <v>8</v>
      </c>
    </row>
    <row r="322" spans="4:14" x14ac:dyDescent="0.25">
      <c r="D322" s="2" t="s">
        <v>349</v>
      </c>
      <c r="E322" s="3">
        <v>14</v>
      </c>
      <c r="G322" s="2" t="s">
        <v>355</v>
      </c>
      <c r="H322" s="3">
        <v>17</v>
      </c>
      <c r="J322" s="2" t="s">
        <v>355</v>
      </c>
      <c r="K322" s="3">
        <v>31</v>
      </c>
      <c r="M322" s="2" t="s">
        <v>355</v>
      </c>
      <c r="N322" s="3">
        <v>6</v>
      </c>
    </row>
    <row r="323" spans="4:14" x14ac:dyDescent="0.25">
      <c r="D323" s="2" t="s">
        <v>350</v>
      </c>
      <c r="E323" s="3">
        <v>17</v>
      </c>
      <c r="G323" s="2" t="s">
        <v>356</v>
      </c>
      <c r="H323" s="3">
        <v>16</v>
      </c>
      <c r="J323" s="2" t="s">
        <v>356</v>
      </c>
      <c r="K323" s="3">
        <v>37.3125</v>
      </c>
      <c r="M323" s="2" t="s">
        <v>356</v>
      </c>
      <c r="N323" s="3">
        <v>3.6666666666666665</v>
      </c>
    </row>
    <row r="324" spans="4:14" x14ac:dyDescent="0.25">
      <c r="D324" s="2" t="s">
        <v>351</v>
      </c>
      <c r="E324" s="3">
        <v>13</v>
      </c>
      <c r="G324" s="2" t="s">
        <v>357</v>
      </c>
      <c r="H324" s="3">
        <v>17</v>
      </c>
      <c r="J324" s="2" t="s">
        <v>357</v>
      </c>
      <c r="K324" s="3">
        <v>35.647058823529413</v>
      </c>
      <c r="M324" s="2" t="s">
        <v>357</v>
      </c>
      <c r="N324" s="3">
        <v>5.333333333333333</v>
      </c>
    </row>
    <row r="325" spans="4:14" x14ac:dyDescent="0.25">
      <c r="D325" s="2" t="s">
        <v>352</v>
      </c>
      <c r="E325" s="3">
        <v>12</v>
      </c>
      <c r="G325" s="2" t="s">
        <v>358</v>
      </c>
      <c r="H325" s="3">
        <v>21</v>
      </c>
      <c r="J325" s="2" t="s">
        <v>358</v>
      </c>
      <c r="K325" s="3">
        <v>36.476190476190474</v>
      </c>
      <c r="M325" s="2" t="s">
        <v>358</v>
      </c>
      <c r="N325" s="3">
        <v>6.1111111111111107</v>
      </c>
    </row>
    <row r="326" spans="4:14" x14ac:dyDescent="0.25">
      <c r="D326" s="2" t="s">
        <v>353</v>
      </c>
      <c r="E326" s="3">
        <v>16</v>
      </c>
      <c r="G326" s="2" t="s">
        <v>359</v>
      </c>
      <c r="H326" s="3">
        <v>15</v>
      </c>
      <c r="J326" s="2" t="s">
        <v>359</v>
      </c>
      <c r="K326" s="3">
        <v>40.799999999999997</v>
      </c>
      <c r="M326" s="2" t="s">
        <v>359</v>
      </c>
      <c r="N326" s="3">
        <v>6.5</v>
      </c>
    </row>
    <row r="327" spans="4:14" x14ac:dyDescent="0.25">
      <c r="D327" s="2" t="s">
        <v>354</v>
      </c>
      <c r="E327" s="3">
        <v>9</v>
      </c>
      <c r="G327" s="2" t="s">
        <v>360</v>
      </c>
      <c r="H327" s="3">
        <v>22</v>
      </c>
      <c r="J327" s="2" t="s">
        <v>360</v>
      </c>
      <c r="K327" s="3">
        <v>30.318181818181817</v>
      </c>
      <c r="M327" s="2" t="s">
        <v>360</v>
      </c>
      <c r="N327" s="3">
        <v>5</v>
      </c>
    </row>
    <row r="328" spans="4:14" x14ac:dyDescent="0.25">
      <c r="D328" s="2" t="s">
        <v>355</v>
      </c>
      <c r="E328" s="3">
        <v>17</v>
      </c>
      <c r="G328" s="2" t="s">
        <v>361</v>
      </c>
      <c r="H328" s="3">
        <v>14</v>
      </c>
      <c r="J328" s="2" t="s">
        <v>361</v>
      </c>
      <c r="K328" s="3">
        <v>35.714285714285715</v>
      </c>
      <c r="M328" s="2" t="s">
        <v>361</v>
      </c>
      <c r="N328" s="3">
        <v>5.8</v>
      </c>
    </row>
    <row r="329" spans="4:14" x14ac:dyDescent="0.25">
      <c r="D329" s="2" t="s">
        <v>356</v>
      </c>
      <c r="E329" s="3">
        <v>16</v>
      </c>
      <c r="G329" s="2" t="s">
        <v>362</v>
      </c>
      <c r="H329" s="3">
        <v>13</v>
      </c>
      <c r="J329" s="2" t="s">
        <v>362</v>
      </c>
      <c r="K329" s="3">
        <v>33.53846153846154</v>
      </c>
      <c r="M329" s="2" t="s">
        <v>362</v>
      </c>
      <c r="N329" s="3">
        <v>6</v>
      </c>
    </row>
    <row r="330" spans="4:14" x14ac:dyDescent="0.25">
      <c r="D330" s="2" t="s">
        <v>357</v>
      </c>
      <c r="E330" s="3">
        <v>17</v>
      </c>
      <c r="G330" s="2" t="s">
        <v>363</v>
      </c>
      <c r="H330" s="3">
        <v>10</v>
      </c>
      <c r="J330" s="2" t="s">
        <v>363</v>
      </c>
      <c r="K330" s="3">
        <v>37.5</v>
      </c>
      <c r="M330" s="2" t="s">
        <v>363</v>
      </c>
      <c r="N330" s="3">
        <v>8</v>
      </c>
    </row>
    <row r="331" spans="4:14" x14ac:dyDescent="0.25">
      <c r="D331" s="2" t="s">
        <v>358</v>
      </c>
      <c r="E331" s="3">
        <v>21</v>
      </c>
      <c r="G331" s="2" t="s">
        <v>364</v>
      </c>
      <c r="H331" s="3">
        <v>17</v>
      </c>
      <c r="J331" s="2" t="s">
        <v>364</v>
      </c>
      <c r="K331" s="3">
        <v>38.058823529411768</v>
      </c>
      <c r="M331" s="2" t="s">
        <v>364</v>
      </c>
      <c r="N331" s="3">
        <v>7</v>
      </c>
    </row>
    <row r="332" spans="4:14" x14ac:dyDescent="0.25">
      <c r="D332" s="2" t="s">
        <v>359</v>
      </c>
      <c r="E332" s="3">
        <v>15</v>
      </c>
      <c r="G332" s="2" t="s">
        <v>365</v>
      </c>
      <c r="H332" s="3">
        <v>17</v>
      </c>
      <c r="J332" s="2" t="s">
        <v>365</v>
      </c>
      <c r="K332" s="3">
        <v>28.117647058823529</v>
      </c>
      <c r="M332" s="2" t="s">
        <v>365</v>
      </c>
      <c r="N332" s="3">
        <v>3.75</v>
      </c>
    </row>
    <row r="333" spans="4:14" x14ac:dyDescent="0.25">
      <c r="D333" s="2" t="s">
        <v>360</v>
      </c>
      <c r="E333" s="3">
        <v>22</v>
      </c>
      <c r="G333" s="2" t="s">
        <v>366</v>
      </c>
      <c r="H333" s="3">
        <v>13</v>
      </c>
      <c r="J333" s="2" t="s">
        <v>366</v>
      </c>
      <c r="K333" s="3">
        <v>31.846153846153847</v>
      </c>
      <c r="M333" s="2" t="s">
        <v>366</v>
      </c>
      <c r="N333" s="3">
        <v>1</v>
      </c>
    </row>
    <row r="334" spans="4:14" x14ac:dyDescent="0.25">
      <c r="D334" s="2" t="s">
        <v>361</v>
      </c>
      <c r="E334" s="3">
        <v>14</v>
      </c>
      <c r="G334" s="2" t="s">
        <v>367</v>
      </c>
      <c r="H334" s="3">
        <v>11</v>
      </c>
      <c r="J334" s="2" t="s">
        <v>367</v>
      </c>
      <c r="K334" s="3">
        <v>43.636363636363633</v>
      </c>
      <c r="M334" s="2" t="s">
        <v>367</v>
      </c>
      <c r="N334" s="3">
        <v>9</v>
      </c>
    </row>
    <row r="335" spans="4:14" x14ac:dyDescent="0.25">
      <c r="D335" s="2" t="s">
        <v>362</v>
      </c>
      <c r="E335" s="3">
        <v>13</v>
      </c>
      <c r="G335" s="2" t="s">
        <v>368</v>
      </c>
      <c r="H335" s="3">
        <v>19</v>
      </c>
      <c r="J335" s="2" t="s">
        <v>368</v>
      </c>
      <c r="K335" s="3">
        <v>38.842105263157897</v>
      </c>
      <c r="M335" s="2" t="s">
        <v>368</v>
      </c>
      <c r="N335" s="3">
        <v>5.8</v>
      </c>
    </row>
    <row r="336" spans="4:14" x14ac:dyDescent="0.25">
      <c r="D336" s="2" t="s">
        <v>363</v>
      </c>
      <c r="E336" s="3">
        <v>10</v>
      </c>
      <c r="G336" s="2" t="s">
        <v>369</v>
      </c>
      <c r="H336" s="3">
        <v>16</v>
      </c>
      <c r="J336" s="2" t="s">
        <v>369</v>
      </c>
      <c r="K336" s="3">
        <v>29.5625</v>
      </c>
      <c r="M336" s="2" t="s">
        <v>369</v>
      </c>
      <c r="N336" s="3">
        <v>4</v>
      </c>
    </row>
    <row r="337" spans="4:14" x14ac:dyDescent="0.25">
      <c r="D337" s="2" t="s">
        <v>364</v>
      </c>
      <c r="E337" s="3">
        <v>17</v>
      </c>
      <c r="G337" s="2" t="s">
        <v>370</v>
      </c>
      <c r="H337" s="3">
        <v>15</v>
      </c>
      <c r="J337" s="2" t="s">
        <v>370</v>
      </c>
      <c r="K337" s="3">
        <v>37.466666666666669</v>
      </c>
      <c r="M337" s="2" t="s">
        <v>370</v>
      </c>
      <c r="N337" s="3">
        <v>6.4</v>
      </c>
    </row>
    <row r="338" spans="4:14" x14ac:dyDescent="0.25">
      <c r="D338" s="2" t="s">
        <v>365</v>
      </c>
      <c r="E338" s="3">
        <v>17</v>
      </c>
      <c r="G338" s="2" t="s">
        <v>371</v>
      </c>
      <c r="H338" s="3">
        <v>18</v>
      </c>
      <c r="J338" s="2" t="s">
        <v>371</v>
      </c>
      <c r="K338" s="3">
        <v>35.277777777777779</v>
      </c>
      <c r="M338" s="2" t="s">
        <v>371</v>
      </c>
      <c r="N338" s="3">
        <v>5</v>
      </c>
    </row>
    <row r="339" spans="4:14" x14ac:dyDescent="0.25">
      <c r="D339" s="2" t="s">
        <v>366</v>
      </c>
      <c r="E339" s="3">
        <v>13</v>
      </c>
      <c r="G339" s="2" t="s">
        <v>372</v>
      </c>
      <c r="H339" s="3">
        <v>16</v>
      </c>
      <c r="J339" s="2" t="s">
        <v>372</v>
      </c>
      <c r="K339" s="3">
        <v>34.5</v>
      </c>
      <c r="M339" s="2" t="s">
        <v>372</v>
      </c>
      <c r="N339" s="3">
        <v>9</v>
      </c>
    </row>
    <row r="340" spans="4:14" x14ac:dyDescent="0.25">
      <c r="D340" s="2" t="s">
        <v>367</v>
      </c>
      <c r="E340" s="3">
        <v>11</v>
      </c>
      <c r="G340" s="2" t="s">
        <v>373</v>
      </c>
      <c r="H340" s="3">
        <v>15</v>
      </c>
      <c r="J340" s="2" t="s">
        <v>373</v>
      </c>
      <c r="K340" s="3">
        <v>35.4</v>
      </c>
      <c r="M340" s="2" t="s">
        <v>373</v>
      </c>
      <c r="N340" s="3">
        <v>4.4000000000000004</v>
      </c>
    </row>
    <row r="341" spans="4:14" x14ac:dyDescent="0.25">
      <c r="D341" s="2" t="s">
        <v>368</v>
      </c>
      <c r="E341" s="3">
        <v>19</v>
      </c>
      <c r="G341" s="2" t="s">
        <v>374</v>
      </c>
      <c r="H341" s="3">
        <v>14</v>
      </c>
      <c r="J341" s="2" t="s">
        <v>374</v>
      </c>
      <c r="K341" s="3">
        <v>34.928571428571431</v>
      </c>
      <c r="M341" s="2" t="s">
        <v>374</v>
      </c>
      <c r="N341" s="3">
        <v>4</v>
      </c>
    </row>
    <row r="342" spans="4:14" x14ac:dyDescent="0.25">
      <c r="D342" s="2" t="s">
        <v>369</v>
      </c>
      <c r="E342" s="3">
        <v>16</v>
      </c>
      <c r="G342" s="2" t="s">
        <v>375</v>
      </c>
      <c r="H342" s="3">
        <v>12</v>
      </c>
      <c r="J342" s="2" t="s">
        <v>375</v>
      </c>
      <c r="K342" s="3">
        <v>44.25</v>
      </c>
      <c r="M342" s="2" t="s">
        <v>375</v>
      </c>
      <c r="N342" s="3">
        <v>0</v>
      </c>
    </row>
    <row r="343" spans="4:14" x14ac:dyDescent="0.25">
      <c r="D343" s="2" t="s">
        <v>370</v>
      </c>
      <c r="E343" s="3">
        <v>15</v>
      </c>
      <c r="G343" s="2" t="s">
        <v>376</v>
      </c>
      <c r="H343" s="3">
        <v>16</v>
      </c>
      <c r="J343" s="2" t="s">
        <v>376</v>
      </c>
      <c r="K343" s="3">
        <v>40.1875</v>
      </c>
      <c r="M343" s="2" t="s">
        <v>376</v>
      </c>
      <c r="N343" s="3">
        <v>2.875</v>
      </c>
    </row>
    <row r="344" spans="4:14" x14ac:dyDescent="0.25">
      <c r="D344" s="2" t="s">
        <v>371</v>
      </c>
      <c r="E344" s="3">
        <v>18</v>
      </c>
      <c r="G344" s="2" t="s">
        <v>377</v>
      </c>
      <c r="H344" s="3">
        <v>11</v>
      </c>
      <c r="J344" s="2" t="s">
        <v>377</v>
      </c>
      <c r="K344" s="3">
        <v>35</v>
      </c>
      <c r="M344" s="2" t="s">
        <v>377</v>
      </c>
      <c r="N344" s="3">
        <v>5.25</v>
      </c>
    </row>
    <row r="345" spans="4:14" x14ac:dyDescent="0.25">
      <c r="D345" s="2" t="s">
        <v>372</v>
      </c>
      <c r="E345" s="3">
        <v>16</v>
      </c>
      <c r="G345" s="2" t="s">
        <v>378</v>
      </c>
      <c r="H345" s="3">
        <v>7</v>
      </c>
      <c r="J345" s="2" t="s">
        <v>378</v>
      </c>
      <c r="K345" s="3">
        <v>43.142857142857146</v>
      </c>
      <c r="M345" s="2" t="s">
        <v>379</v>
      </c>
      <c r="N345" s="3">
        <v>6</v>
      </c>
    </row>
    <row r="346" spans="4:14" x14ac:dyDescent="0.25">
      <c r="D346" s="2" t="s">
        <v>373</v>
      </c>
      <c r="E346" s="3">
        <v>15</v>
      </c>
      <c r="G346" s="2" t="s">
        <v>379</v>
      </c>
      <c r="H346" s="3">
        <v>16</v>
      </c>
      <c r="J346" s="2" t="s">
        <v>379</v>
      </c>
      <c r="K346" s="3">
        <v>43.6875</v>
      </c>
      <c r="M346" s="2" t="s">
        <v>380</v>
      </c>
      <c r="N346" s="3">
        <v>6.5</v>
      </c>
    </row>
    <row r="347" spans="4:14" x14ac:dyDescent="0.25">
      <c r="D347" s="2" t="s">
        <v>374</v>
      </c>
      <c r="E347" s="3">
        <v>14</v>
      </c>
      <c r="G347" s="2" t="s">
        <v>380</v>
      </c>
      <c r="H347" s="3">
        <v>7</v>
      </c>
      <c r="J347" s="2" t="s">
        <v>380</v>
      </c>
      <c r="K347" s="3">
        <v>33.857142857142854</v>
      </c>
      <c r="M347" s="2" t="s">
        <v>381</v>
      </c>
      <c r="N347" s="3">
        <v>5.5</v>
      </c>
    </row>
    <row r="348" spans="4:14" x14ac:dyDescent="0.25">
      <c r="D348" s="2" t="s">
        <v>375</v>
      </c>
      <c r="E348" s="3">
        <v>12</v>
      </c>
      <c r="G348" s="2" t="s">
        <v>381</v>
      </c>
      <c r="H348" s="3">
        <v>16</v>
      </c>
      <c r="J348" s="2" t="s">
        <v>381</v>
      </c>
      <c r="K348" s="3">
        <v>40.1875</v>
      </c>
      <c r="M348" s="2" t="s">
        <v>382</v>
      </c>
      <c r="N348" s="3">
        <v>5.666666666666667</v>
      </c>
    </row>
    <row r="349" spans="4:14" x14ac:dyDescent="0.25">
      <c r="D349" s="2" t="s">
        <v>376</v>
      </c>
      <c r="E349" s="3">
        <v>16</v>
      </c>
      <c r="G349" s="2" t="s">
        <v>382</v>
      </c>
      <c r="H349" s="3">
        <v>16</v>
      </c>
      <c r="J349" s="2" t="s">
        <v>382</v>
      </c>
      <c r="K349" s="3">
        <v>34.9375</v>
      </c>
      <c r="M349" s="2" t="s">
        <v>383</v>
      </c>
      <c r="N349" s="3">
        <v>5.25</v>
      </c>
    </row>
    <row r="350" spans="4:14" x14ac:dyDescent="0.25">
      <c r="D350" s="2" t="s">
        <v>377</v>
      </c>
      <c r="E350" s="3">
        <v>11</v>
      </c>
      <c r="G350" s="2" t="s">
        <v>383</v>
      </c>
      <c r="H350" s="3">
        <v>19</v>
      </c>
      <c r="J350" s="2" t="s">
        <v>383</v>
      </c>
      <c r="K350" s="3">
        <v>28.684210526315791</v>
      </c>
      <c r="M350" s="2" t="s">
        <v>384</v>
      </c>
      <c r="N350" s="3">
        <v>7.25</v>
      </c>
    </row>
    <row r="351" spans="4:14" x14ac:dyDescent="0.25">
      <c r="D351" s="2" t="s">
        <v>378</v>
      </c>
      <c r="E351" s="3">
        <v>7</v>
      </c>
      <c r="G351" s="2" t="s">
        <v>384</v>
      </c>
      <c r="H351" s="3">
        <v>10</v>
      </c>
      <c r="J351" s="2" t="s">
        <v>384</v>
      </c>
      <c r="K351" s="3">
        <v>25</v>
      </c>
      <c r="M351" s="2" t="s">
        <v>385</v>
      </c>
      <c r="N351" s="3">
        <v>6</v>
      </c>
    </row>
    <row r="352" spans="4:14" x14ac:dyDescent="0.25">
      <c r="D352" s="2" t="s">
        <v>379</v>
      </c>
      <c r="E352" s="3">
        <v>16</v>
      </c>
      <c r="G352" s="2" t="s">
        <v>385</v>
      </c>
      <c r="H352" s="3">
        <v>13</v>
      </c>
      <c r="J352" s="2" t="s">
        <v>385</v>
      </c>
      <c r="K352" s="3">
        <v>35.46153846153846</v>
      </c>
      <c r="M352" s="2" t="s">
        <v>386</v>
      </c>
      <c r="N352" s="3">
        <v>4.5999999999999996</v>
      </c>
    </row>
    <row r="353" spans="4:14" x14ac:dyDescent="0.25">
      <c r="D353" s="2" t="s">
        <v>380</v>
      </c>
      <c r="E353" s="3">
        <v>7</v>
      </c>
      <c r="G353" s="2" t="s">
        <v>386</v>
      </c>
      <c r="H353" s="3">
        <v>27</v>
      </c>
      <c r="J353" s="2" t="s">
        <v>386</v>
      </c>
      <c r="K353" s="3">
        <v>33.814814814814817</v>
      </c>
      <c r="M353" s="2" t="s">
        <v>387</v>
      </c>
      <c r="N353" s="3">
        <v>8</v>
      </c>
    </row>
    <row r="354" spans="4:14" x14ac:dyDescent="0.25">
      <c r="D354" s="2" t="s">
        <v>381</v>
      </c>
      <c r="E354" s="3">
        <v>16</v>
      </c>
      <c r="G354" s="2" t="s">
        <v>387</v>
      </c>
      <c r="H354" s="3">
        <v>19</v>
      </c>
      <c r="J354" s="2" t="s">
        <v>387</v>
      </c>
      <c r="K354" s="3">
        <v>33.631578947368418</v>
      </c>
      <c r="M354" s="2" t="s">
        <v>388</v>
      </c>
      <c r="N354" s="3">
        <v>3.6666666666666665</v>
      </c>
    </row>
    <row r="355" spans="4:14" x14ac:dyDescent="0.25">
      <c r="D355" s="2" t="s">
        <v>382</v>
      </c>
      <c r="E355" s="3">
        <v>16</v>
      </c>
      <c r="G355" s="2" t="s">
        <v>388</v>
      </c>
      <c r="H355" s="3">
        <v>18</v>
      </c>
      <c r="J355" s="2" t="s">
        <v>388</v>
      </c>
      <c r="K355" s="3">
        <v>36.611111111111114</v>
      </c>
      <c r="M355" s="2" t="s">
        <v>389</v>
      </c>
      <c r="N355" s="3">
        <v>2.4285714285714284</v>
      </c>
    </row>
    <row r="356" spans="4:14" x14ac:dyDescent="0.25">
      <c r="D356" s="2" t="s">
        <v>383</v>
      </c>
      <c r="E356" s="3">
        <v>19</v>
      </c>
      <c r="G356" s="2" t="s">
        <v>389</v>
      </c>
      <c r="H356" s="3">
        <v>12</v>
      </c>
      <c r="J356" s="2" t="s">
        <v>389</v>
      </c>
      <c r="K356" s="3">
        <v>30.5</v>
      </c>
      <c r="M356" s="2" t="s">
        <v>390</v>
      </c>
      <c r="N356" s="3">
        <v>9</v>
      </c>
    </row>
    <row r="357" spans="4:14" x14ac:dyDescent="0.25">
      <c r="D357" s="2" t="s">
        <v>384</v>
      </c>
      <c r="E357" s="3">
        <v>10</v>
      </c>
      <c r="G357" s="2" t="s">
        <v>390</v>
      </c>
      <c r="H357" s="3">
        <v>20</v>
      </c>
      <c r="J357" s="2" t="s">
        <v>390</v>
      </c>
      <c r="K357" s="3">
        <v>33.6</v>
      </c>
      <c r="M357" s="2" t="s">
        <v>391</v>
      </c>
      <c r="N357" s="3">
        <v>6</v>
      </c>
    </row>
    <row r="358" spans="4:14" x14ac:dyDescent="0.25">
      <c r="D358" s="2" t="s">
        <v>385</v>
      </c>
      <c r="E358" s="3">
        <v>13</v>
      </c>
      <c r="G358" s="2" t="s">
        <v>391</v>
      </c>
      <c r="H358" s="3">
        <v>12</v>
      </c>
      <c r="J358" s="2" t="s">
        <v>391</v>
      </c>
      <c r="K358" s="3">
        <v>26.75</v>
      </c>
      <c r="M358" s="2" t="s">
        <v>392</v>
      </c>
      <c r="N358" s="3">
        <v>4</v>
      </c>
    </row>
    <row r="359" spans="4:14" x14ac:dyDescent="0.25">
      <c r="D359" s="2" t="s">
        <v>386</v>
      </c>
      <c r="E359" s="3">
        <v>27</v>
      </c>
      <c r="G359" s="2" t="s">
        <v>392</v>
      </c>
      <c r="H359" s="3">
        <v>19</v>
      </c>
      <c r="J359" s="2" t="s">
        <v>392</v>
      </c>
      <c r="K359" s="3">
        <v>37.684210526315788</v>
      </c>
      <c r="M359" s="2" t="s">
        <v>393</v>
      </c>
      <c r="N359" s="3">
        <v>4.833333333333333</v>
      </c>
    </row>
    <row r="360" spans="4:14" x14ac:dyDescent="0.25">
      <c r="D360" s="2" t="s">
        <v>387</v>
      </c>
      <c r="E360" s="3">
        <v>19</v>
      </c>
      <c r="G360" s="2" t="s">
        <v>393</v>
      </c>
      <c r="H360" s="3">
        <v>18</v>
      </c>
      <c r="J360" s="2" t="s">
        <v>393</v>
      </c>
      <c r="K360" s="3">
        <v>36.611111111111114</v>
      </c>
      <c r="M360" s="2" t="s">
        <v>394</v>
      </c>
      <c r="N360" s="3">
        <v>3.6</v>
      </c>
    </row>
    <row r="361" spans="4:14" x14ac:dyDescent="0.25">
      <c r="D361" s="2" t="s">
        <v>388</v>
      </c>
      <c r="E361" s="3">
        <v>18</v>
      </c>
      <c r="G361" s="2" t="s">
        <v>394</v>
      </c>
      <c r="H361" s="3">
        <v>21</v>
      </c>
      <c r="J361" s="2" t="s">
        <v>394</v>
      </c>
      <c r="K361" s="3">
        <v>35.428571428571431</v>
      </c>
      <c r="M361" s="2" t="s">
        <v>395</v>
      </c>
      <c r="N361" s="3">
        <v>5</v>
      </c>
    </row>
    <row r="362" spans="4:14" x14ac:dyDescent="0.25">
      <c r="D362" s="2" t="s">
        <v>389</v>
      </c>
      <c r="E362" s="3">
        <v>12</v>
      </c>
      <c r="G362" s="2" t="s">
        <v>395</v>
      </c>
      <c r="H362" s="3">
        <v>18</v>
      </c>
      <c r="J362" s="2" t="s">
        <v>395</v>
      </c>
      <c r="K362" s="3">
        <v>31.944444444444443</v>
      </c>
      <c r="M362" s="2" t="s">
        <v>396</v>
      </c>
      <c r="N362" s="3">
        <v>5.25</v>
      </c>
    </row>
    <row r="363" spans="4:14" x14ac:dyDescent="0.25">
      <c r="D363" s="2" t="s">
        <v>390</v>
      </c>
      <c r="E363" s="3">
        <v>20</v>
      </c>
      <c r="G363" s="2" t="s">
        <v>396</v>
      </c>
      <c r="H363" s="3">
        <v>16</v>
      </c>
      <c r="J363" s="2" t="s">
        <v>396</v>
      </c>
      <c r="K363" s="3">
        <v>31.875</v>
      </c>
      <c r="M363" s="2" t="s">
        <v>397</v>
      </c>
      <c r="N363" s="3">
        <v>3.2</v>
      </c>
    </row>
    <row r="364" spans="4:14" x14ac:dyDescent="0.25">
      <c r="D364" s="2" t="s">
        <v>391</v>
      </c>
      <c r="E364" s="3">
        <v>12</v>
      </c>
      <c r="G364" s="2" t="s">
        <v>397</v>
      </c>
      <c r="H364" s="3">
        <v>14</v>
      </c>
      <c r="J364" s="2" t="s">
        <v>397</v>
      </c>
      <c r="K364" s="3">
        <v>28.642857142857142</v>
      </c>
      <c r="M364" s="2" t="s">
        <v>398</v>
      </c>
      <c r="N364" s="3">
        <v>5.5</v>
      </c>
    </row>
    <row r="365" spans="4:14" x14ac:dyDescent="0.25">
      <c r="D365" s="2" t="s">
        <v>392</v>
      </c>
      <c r="E365" s="3">
        <v>19</v>
      </c>
      <c r="G365" s="2" t="s">
        <v>398</v>
      </c>
      <c r="H365" s="3">
        <v>14</v>
      </c>
      <c r="J365" s="2" t="s">
        <v>398</v>
      </c>
      <c r="K365" s="3">
        <v>39.214285714285715</v>
      </c>
      <c r="M365" s="2" t="s">
        <v>399</v>
      </c>
      <c r="N365" s="3">
        <v>3</v>
      </c>
    </row>
    <row r="366" spans="4:14" x14ac:dyDescent="0.25">
      <c r="D366" s="2" t="s">
        <v>393</v>
      </c>
      <c r="E366" s="3">
        <v>18</v>
      </c>
      <c r="G366" s="2" t="s">
        <v>399</v>
      </c>
      <c r="H366" s="3">
        <v>16</v>
      </c>
      <c r="J366" s="2" t="s">
        <v>399</v>
      </c>
      <c r="K366" s="3">
        <v>32.0625</v>
      </c>
      <c r="M366" s="2" t="s">
        <v>400</v>
      </c>
      <c r="N366" s="3">
        <v>3.9090909090909092</v>
      </c>
    </row>
    <row r="367" spans="4:14" x14ac:dyDescent="0.25">
      <c r="D367" s="2" t="s">
        <v>394</v>
      </c>
      <c r="E367" s="3">
        <v>21</v>
      </c>
      <c r="G367" s="2" t="s">
        <v>400</v>
      </c>
      <c r="H367" s="3">
        <v>21</v>
      </c>
      <c r="J367" s="2" t="s">
        <v>400</v>
      </c>
      <c r="K367" s="3">
        <v>28.285714285714285</v>
      </c>
      <c r="M367" s="2" t="s">
        <v>401</v>
      </c>
      <c r="N367" s="3">
        <v>2.6666666666666665</v>
      </c>
    </row>
    <row r="368" spans="4:14" x14ac:dyDescent="0.25">
      <c r="D368" s="2" t="s">
        <v>395</v>
      </c>
      <c r="E368" s="3">
        <v>18</v>
      </c>
      <c r="G368" s="2" t="s">
        <v>401</v>
      </c>
      <c r="H368" s="3">
        <v>21</v>
      </c>
      <c r="J368" s="2" t="s">
        <v>401</v>
      </c>
      <c r="K368" s="3">
        <v>35.476190476190474</v>
      </c>
      <c r="M368" s="2" t="s">
        <v>1</v>
      </c>
      <c r="N368" s="3">
        <v>4.9920540325784666</v>
      </c>
    </row>
    <row r="369" spans="4:11" x14ac:dyDescent="0.25">
      <c r="D369" s="2" t="s">
        <v>396</v>
      </c>
      <c r="E369" s="3">
        <v>16</v>
      </c>
      <c r="G369" s="2" t="s">
        <v>402</v>
      </c>
      <c r="H369" s="3">
        <v>15</v>
      </c>
      <c r="J369" s="2" t="s">
        <v>402</v>
      </c>
      <c r="K369" s="3">
        <v>39.799999999999997</v>
      </c>
    </row>
    <row r="370" spans="4:11" x14ac:dyDescent="0.25">
      <c r="D370" s="2" t="s">
        <v>397</v>
      </c>
      <c r="E370" s="3">
        <v>14</v>
      </c>
      <c r="G370" s="2" t="s">
        <v>1</v>
      </c>
      <c r="H370" s="3">
        <v>9216</v>
      </c>
      <c r="J370" s="2" t="s">
        <v>1</v>
      </c>
      <c r="K370" s="3">
        <v>35.259874131944443</v>
      </c>
    </row>
    <row r="371" spans="4:11" x14ac:dyDescent="0.25">
      <c r="D371" s="2" t="s">
        <v>398</v>
      </c>
      <c r="E371" s="3">
        <v>14</v>
      </c>
    </row>
    <row r="372" spans="4:11" x14ac:dyDescent="0.25">
      <c r="D372" s="2" t="s">
        <v>399</v>
      </c>
      <c r="E372" s="3">
        <v>16</v>
      </c>
    </row>
    <row r="373" spans="4:11" x14ac:dyDescent="0.25">
      <c r="D373" s="2" t="s">
        <v>400</v>
      </c>
      <c r="E373" s="3">
        <v>21</v>
      </c>
    </row>
    <row r="374" spans="4:11" x14ac:dyDescent="0.25">
      <c r="D374" s="2" t="s">
        <v>401</v>
      </c>
      <c r="E374" s="3">
        <v>21</v>
      </c>
    </row>
    <row r="375" spans="4:11" x14ac:dyDescent="0.25">
      <c r="D375" s="2" t="s">
        <v>402</v>
      </c>
      <c r="E375" s="3">
        <v>15</v>
      </c>
    </row>
    <row r="376" spans="4:11" x14ac:dyDescent="0.25">
      <c r="D376" s="2" t="s">
        <v>1</v>
      </c>
      <c r="E376" s="3">
        <v>9216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E671-AB92-46BF-BFA8-22ACE5AE1C37}">
  <dimension ref="A1:Y43"/>
  <sheetViews>
    <sheetView tabSelected="1" zoomScale="78" zoomScaleNormal="78" workbookViewId="0">
      <selection activeCell="AB26" sqref="AB26"/>
    </sheetView>
  </sheetViews>
  <sheetFormatPr defaultRowHeight="15" x14ac:dyDescent="0.25"/>
  <sheetData>
    <row r="1" spans="1:25" x14ac:dyDescent="0.25">
      <c r="A1" s="5"/>
      <c r="B1" s="5"/>
      <c r="C1" s="5"/>
      <c r="D1" s="5"/>
      <c r="E1" s="5"/>
      <c r="F1" s="5"/>
      <c r="G1" s="5"/>
      <c r="H1" s="5"/>
      <c r="I1" s="5"/>
      <c r="J1" s="5"/>
      <c r="K1" s="5"/>
      <c r="L1" s="5"/>
      <c r="M1" s="5"/>
      <c r="N1" s="5"/>
      <c r="O1" s="5"/>
      <c r="P1" s="5"/>
      <c r="Q1" s="5"/>
      <c r="R1" s="5"/>
      <c r="S1" s="5"/>
      <c r="T1" s="5"/>
      <c r="U1" s="5"/>
      <c r="V1" s="5"/>
      <c r="W1" s="5"/>
      <c r="X1" s="5"/>
      <c r="Y1" s="5"/>
    </row>
    <row r="2" spans="1:25" x14ac:dyDescent="0.25">
      <c r="A2" s="5"/>
      <c r="B2" s="5"/>
      <c r="C2" s="5"/>
      <c r="D2" s="5"/>
      <c r="E2" s="5"/>
      <c r="F2" s="5"/>
      <c r="G2" s="5"/>
      <c r="H2" s="5"/>
      <c r="I2" s="5"/>
      <c r="J2" s="5"/>
      <c r="K2" s="5"/>
      <c r="L2" s="5"/>
      <c r="M2" s="5"/>
      <c r="N2" s="5"/>
      <c r="O2" s="5"/>
      <c r="P2" s="5"/>
      <c r="Q2" s="5"/>
      <c r="R2" s="5"/>
      <c r="S2" s="5"/>
      <c r="T2" s="5"/>
      <c r="U2" s="5"/>
      <c r="V2" s="5"/>
      <c r="W2" s="5"/>
      <c r="X2" s="5"/>
      <c r="Y2" s="5"/>
    </row>
    <row r="3" spans="1:25" x14ac:dyDescent="0.25">
      <c r="A3" s="5"/>
      <c r="B3" s="5"/>
      <c r="C3" s="5"/>
      <c r="D3" s="5"/>
      <c r="E3" s="5"/>
      <c r="F3" s="5"/>
      <c r="G3" s="5"/>
      <c r="H3" s="5"/>
      <c r="I3" s="5"/>
      <c r="J3" s="5"/>
      <c r="K3" s="5"/>
      <c r="L3" s="5"/>
      <c r="M3" s="5"/>
      <c r="N3" s="5"/>
      <c r="O3" s="5"/>
      <c r="P3" s="5"/>
      <c r="Q3" s="5"/>
      <c r="R3" s="5"/>
      <c r="S3" s="5"/>
      <c r="T3" s="5"/>
      <c r="U3" s="5"/>
      <c r="V3" s="5"/>
      <c r="W3" s="5"/>
      <c r="X3" s="5"/>
      <c r="Y3" s="5"/>
    </row>
    <row r="4" spans="1:25" x14ac:dyDescent="0.25">
      <c r="A4" s="5"/>
      <c r="B4" s="5"/>
      <c r="C4" s="5"/>
      <c r="D4" s="5"/>
      <c r="E4" s="5"/>
      <c r="F4" s="5"/>
      <c r="G4" s="5"/>
      <c r="H4" s="5"/>
      <c r="I4" s="5"/>
      <c r="J4" s="5"/>
      <c r="K4" s="5"/>
      <c r="L4" s="5"/>
      <c r="M4" s="5"/>
      <c r="N4" s="5"/>
      <c r="O4" s="5"/>
      <c r="P4" s="5"/>
      <c r="Q4" s="5"/>
      <c r="R4" s="5"/>
      <c r="S4" s="5"/>
      <c r="T4" s="5"/>
      <c r="U4" s="5"/>
      <c r="V4" s="5"/>
      <c r="W4" s="5"/>
      <c r="X4" s="5"/>
      <c r="Y4" s="5"/>
    </row>
    <row r="5" spans="1:25" x14ac:dyDescent="0.25">
      <c r="A5" s="5"/>
      <c r="B5" s="5"/>
      <c r="C5" s="5"/>
      <c r="D5" s="5"/>
      <c r="E5" s="5"/>
      <c r="F5" s="5"/>
      <c r="G5" s="5"/>
      <c r="H5" s="5"/>
      <c r="I5" s="5"/>
      <c r="J5" s="5"/>
      <c r="K5" s="5"/>
      <c r="L5" s="5"/>
      <c r="M5" s="5"/>
      <c r="N5" s="5"/>
      <c r="O5" s="5"/>
      <c r="P5" s="5"/>
      <c r="Q5" s="5"/>
      <c r="R5" s="5"/>
      <c r="S5" s="5"/>
      <c r="T5" s="5"/>
      <c r="U5" s="5"/>
      <c r="V5" s="5"/>
      <c r="W5" s="5"/>
      <c r="X5" s="5"/>
      <c r="Y5" s="5"/>
    </row>
    <row r="6" spans="1:25" x14ac:dyDescent="0.25">
      <c r="A6" s="5"/>
      <c r="B6" s="5"/>
      <c r="C6" s="5"/>
      <c r="D6" s="5"/>
      <c r="E6" s="5"/>
      <c r="F6" s="5"/>
      <c r="G6" s="5"/>
      <c r="H6" s="5"/>
      <c r="I6" s="5"/>
      <c r="J6" s="5"/>
      <c r="K6" s="5"/>
      <c r="L6" s="5"/>
      <c r="M6" s="5"/>
      <c r="N6" s="5"/>
      <c r="O6" s="5"/>
      <c r="P6" s="5"/>
      <c r="Q6" s="5"/>
      <c r="R6" s="5"/>
      <c r="S6" s="5"/>
      <c r="T6" s="5"/>
      <c r="U6" s="5"/>
      <c r="V6" s="5"/>
      <c r="W6" s="5"/>
      <c r="X6" s="5"/>
      <c r="Y6" s="5"/>
    </row>
    <row r="7" spans="1:25" x14ac:dyDescent="0.25">
      <c r="A7" s="5"/>
      <c r="B7" s="5"/>
      <c r="C7" s="5"/>
      <c r="D7" s="5"/>
      <c r="E7" s="5"/>
      <c r="F7" s="5"/>
      <c r="G7" s="5"/>
      <c r="H7" s="5"/>
      <c r="I7" s="5"/>
      <c r="J7" s="5"/>
      <c r="K7" s="5"/>
      <c r="L7" s="5"/>
      <c r="M7" s="5"/>
      <c r="N7" s="5"/>
      <c r="O7" s="5"/>
      <c r="P7" s="5"/>
      <c r="Q7" s="5"/>
      <c r="R7" s="5"/>
      <c r="S7" s="5"/>
      <c r="T7" s="5"/>
      <c r="U7" s="5"/>
      <c r="V7" s="5"/>
      <c r="W7" s="5"/>
      <c r="X7" s="5"/>
      <c r="Y7" s="5"/>
    </row>
    <row r="8" spans="1:25" x14ac:dyDescent="0.25">
      <c r="A8" s="5"/>
      <c r="B8" s="5"/>
      <c r="C8" s="5"/>
      <c r="D8" s="5"/>
      <c r="E8" s="5"/>
      <c r="F8" s="5"/>
      <c r="G8" s="5"/>
      <c r="H8" s="5"/>
      <c r="I8" s="5"/>
      <c r="J8" s="5"/>
      <c r="K8" s="5"/>
      <c r="L8" s="5"/>
      <c r="M8" s="5"/>
      <c r="N8" s="5"/>
      <c r="O8" s="5"/>
      <c r="P8" s="5"/>
      <c r="Q8" s="5"/>
      <c r="R8" s="5"/>
      <c r="S8" s="5"/>
      <c r="T8" s="5"/>
      <c r="U8" s="5"/>
      <c r="V8" s="5"/>
      <c r="W8" s="5"/>
      <c r="X8" s="5"/>
      <c r="Y8" s="5"/>
    </row>
    <row r="9" spans="1:25" x14ac:dyDescent="0.25">
      <c r="A9" s="5"/>
      <c r="B9" s="5"/>
      <c r="C9" s="5"/>
      <c r="D9" s="5"/>
      <c r="E9" s="5"/>
      <c r="F9" s="5"/>
      <c r="G9" s="5"/>
      <c r="H9" s="5"/>
      <c r="I9" s="5"/>
      <c r="J9" s="5"/>
      <c r="K9" s="5"/>
      <c r="L9" s="5"/>
      <c r="M9" s="5"/>
      <c r="N9" s="5"/>
      <c r="O9" s="5"/>
      <c r="P9" s="5"/>
      <c r="Q9" s="5"/>
      <c r="R9" s="5"/>
      <c r="S9" s="5"/>
      <c r="T9" s="5"/>
      <c r="U9" s="5"/>
      <c r="V9" s="5"/>
      <c r="W9" s="5"/>
      <c r="X9" s="5"/>
      <c r="Y9" s="5"/>
    </row>
    <row r="10" spans="1:25" x14ac:dyDescent="0.25">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25">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25">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25">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25">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25">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25">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25">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25">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25">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25">
      <c r="A20" s="5"/>
      <c r="B20" s="5"/>
      <c r="C20" s="5"/>
      <c r="D20" s="5"/>
      <c r="E20" s="5"/>
      <c r="F20" s="5"/>
      <c r="G20" s="5"/>
      <c r="H20" s="5"/>
      <c r="I20" s="5"/>
      <c r="J20" s="5"/>
      <c r="K20" s="5"/>
      <c r="L20" s="5"/>
      <c r="M20" s="5"/>
      <c r="N20" s="5"/>
      <c r="O20" s="5"/>
      <c r="P20" s="5"/>
      <c r="Q20" s="5"/>
      <c r="R20" s="5"/>
      <c r="S20" s="5"/>
      <c r="T20" s="5"/>
      <c r="U20" s="5"/>
      <c r="V20" s="5"/>
      <c r="W20" s="5"/>
      <c r="X20" s="5"/>
      <c r="Y20" s="5"/>
    </row>
    <row r="21" spans="1:25" x14ac:dyDescent="0.25">
      <c r="A21" s="5"/>
      <c r="B21" s="5"/>
      <c r="C21" s="5"/>
      <c r="D21" s="5"/>
      <c r="E21" s="5"/>
      <c r="F21" s="5"/>
      <c r="G21" s="5"/>
      <c r="H21" s="5"/>
      <c r="I21" s="5"/>
      <c r="J21" s="5"/>
      <c r="K21" s="5"/>
      <c r="L21" s="5"/>
      <c r="M21" s="5"/>
      <c r="N21" s="5"/>
      <c r="O21" s="5"/>
      <c r="P21" s="5"/>
      <c r="Q21" s="5"/>
      <c r="R21" s="5"/>
      <c r="S21" s="5"/>
      <c r="T21" s="5"/>
      <c r="U21" s="5"/>
      <c r="V21" s="5"/>
      <c r="W21" s="5"/>
      <c r="X21" s="5"/>
      <c r="Y21" s="5"/>
    </row>
    <row r="22" spans="1:25" x14ac:dyDescent="0.25">
      <c r="A22" s="5"/>
      <c r="B22" s="5"/>
      <c r="C22" s="5"/>
      <c r="D22" s="5"/>
      <c r="E22" s="5"/>
      <c r="F22" s="5"/>
      <c r="G22" s="5"/>
      <c r="H22" s="5"/>
      <c r="I22" s="5"/>
      <c r="J22" s="5"/>
      <c r="K22" s="5"/>
      <c r="L22" s="5"/>
      <c r="M22" s="5"/>
      <c r="N22" s="5"/>
      <c r="O22" s="5"/>
      <c r="P22" s="5"/>
      <c r="Q22" s="5"/>
      <c r="R22" s="5"/>
      <c r="S22" s="5"/>
      <c r="T22" s="5"/>
      <c r="U22" s="5"/>
      <c r="V22" s="5"/>
      <c r="W22" s="5"/>
      <c r="X22" s="5"/>
      <c r="Y22" s="5"/>
    </row>
    <row r="23" spans="1:25" x14ac:dyDescent="0.25">
      <c r="A23" s="5"/>
      <c r="B23" s="5"/>
      <c r="C23" s="5"/>
      <c r="D23" s="5"/>
      <c r="E23" s="5"/>
      <c r="F23" s="5"/>
      <c r="G23" s="5"/>
      <c r="H23" s="5"/>
      <c r="I23" s="5"/>
      <c r="J23" s="5"/>
      <c r="K23" s="5"/>
      <c r="L23" s="5"/>
      <c r="M23" s="5"/>
      <c r="N23" s="5"/>
      <c r="O23" s="5"/>
      <c r="P23" s="5"/>
      <c r="Q23" s="5"/>
      <c r="R23" s="5"/>
      <c r="S23" s="5"/>
      <c r="T23" s="5"/>
      <c r="U23" s="5"/>
      <c r="V23" s="5"/>
      <c r="W23" s="5"/>
      <c r="X23" s="5"/>
      <c r="Y23" s="5"/>
    </row>
    <row r="24" spans="1:25" x14ac:dyDescent="0.25">
      <c r="A24" s="5"/>
      <c r="B24" s="5"/>
      <c r="C24" s="5"/>
      <c r="D24" s="5"/>
      <c r="E24" s="5"/>
      <c r="F24" s="5"/>
      <c r="G24" s="5"/>
      <c r="H24" s="5"/>
      <c r="I24" s="5"/>
      <c r="J24" s="5"/>
      <c r="K24" s="5"/>
      <c r="L24" s="5"/>
      <c r="M24" s="5"/>
      <c r="N24" s="5"/>
      <c r="O24" s="5"/>
      <c r="P24" s="5"/>
      <c r="Q24" s="5"/>
      <c r="R24" s="5"/>
      <c r="S24" s="5"/>
      <c r="T24" s="5"/>
      <c r="U24" s="5"/>
      <c r="V24" s="5"/>
      <c r="W24" s="5"/>
      <c r="X24" s="5"/>
      <c r="Y24" s="5"/>
    </row>
    <row r="25" spans="1:25" x14ac:dyDescent="0.25">
      <c r="A25" s="5"/>
      <c r="B25" s="5"/>
      <c r="C25" s="5"/>
      <c r="D25" s="5"/>
      <c r="E25" s="5"/>
      <c r="F25" s="5"/>
      <c r="G25" s="5"/>
      <c r="H25" s="5"/>
      <c r="I25" s="5"/>
      <c r="J25" s="5"/>
      <c r="K25" s="5"/>
      <c r="L25" s="5"/>
      <c r="M25" s="5"/>
      <c r="N25" s="5"/>
      <c r="O25" s="5"/>
      <c r="P25" s="5"/>
      <c r="Q25" s="5"/>
      <c r="R25" s="5"/>
      <c r="S25" s="5"/>
      <c r="T25" s="5"/>
      <c r="U25" s="5"/>
      <c r="V25" s="5"/>
      <c r="W25" s="5"/>
      <c r="X25" s="5"/>
      <c r="Y25" s="5"/>
    </row>
    <row r="26" spans="1:25" x14ac:dyDescent="0.25">
      <c r="A26" s="5"/>
      <c r="B26" s="5"/>
      <c r="C26" s="5"/>
      <c r="D26" s="5"/>
      <c r="E26" s="5"/>
      <c r="F26" s="5"/>
      <c r="G26" s="5"/>
      <c r="H26" s="5"/>
      <c r="I26" s="5"/>
      <c r="J26" s="5"/>
      <c r="K26" s="5"/>
      <c r="L26" s="5"/>
      <c r="M26" s="5"/>
      <c r="N26" s="5"/>
      <c r="O26" s="5"/>
      <c r="P26" s="5"/>
      <c r="Q26" s="5"/>
      <c r="R26" s="5"/>
      <c r="S26" s="5"/>
      <c r="T26" s="5"/>
      <c r="U26" s="5"/>
      <c r="V26" s="5"/>
      <c r="W26" s="5"/>
      <c r="X26" s="5"/>
      <c r="Y26" s="5"/>
    </row>
    <row r="27" spans="1:25" x14ac:dyDescent="0.25">
      <c r="A27" s="5"/>
      <c r="B27" s="5"/>
      <c r="C27" s="5"/>
      <c r="D27" s="5"/>
      <c r="E27" s="5"/>
      <c r="F27" s="5"/>
      <c r="G27" s="5"/>
      <c r="H27" s="5"/>
      <c r="I27" s="5"/>
      <c r="J27" s="5"/>
      <c r="K27" s="5"/>
      <c r="L27" s="5"/>
      <c r="M27" s="5"/>
      <c r="N27" s="5"/>
      <c r="O27" s="5"/>
      <c r="P27" s="5"/>
      <c r="Q27" s="5"/>
      <c r="R27" s="5"/>
      <c r="S27" s="5"/>
      <c r="T27" s="5"/>
      <c r="U27" s="5"/>
      <c r="V27" s="5"/>
      <c r="W27" s="5"/>
      <c r="X27" s="5"/>
      <c r="Y27" s="5"/>
    </row>
    <row r="28" spans="1:25" x14ac:dyDescent="0.25">
      <c r="A28" s="5"/>
      <c r="B28" s="5"/>
      <c r="C28" s="5"/>
      <c r="D28" s="5"/>
      <c r="E28" s="5"/>
      <c r="F28" s="5"/>
      <c r="G28" s="5"/>
      <c r="H28" s="5"/>
      <c r="I28" s="5"/>
      <c r="J28" s="5"/>
      <c r="K28" s="5"/>
      <c r="L28" s="5"/>
      <c r="M28" s="5"/>
      <c r="N28" s="5"/>
      <c r="O28" s="5"/>
      <c r="P28" s="5"/>
      <c r="Q28" s="5"/>
      <c r="R28" s="5"/>
      <c r="S28" s="5"/>
      <c r="T28" s="5"/>
      <c r="U28" s="5"/>
      <c r="V28" s="5"/>
      <c r="W28" s="5"/>
      <c r="X28" s="5"/>
      <c r="Y28" s="5"/>
    </row>
    <row r="29" spans="1:25" x14ac:dyDescent="0.25">
      <c r="A29" s="5"/>
      <c r="B29" s="5"/>
      <c r="C29" s="5"/>
      <c r="D29" s="5"/>
      <c r="E29" s="5"/>
      <c r="F29" s="5"/>
      <c r="G29" s="5"/>
      <c r="H29" s="5"/>
      <c r="I29" s="5"/>
      <c r="J29" s="5"/>
      <c r="K29" s="5"/>
      <c r="L29" s="5"/>
      <c r="M29" s="5"/>
      <c r="N29" s="5"/>
      <c r="O29" s="5"/>
      <c r="P29" s="5"/>
      <c r="Q29" s="5"/>
      <c r="R29" s="5"/>
      <c r="S29" s="5"/>
      <c r="T29" s="5"/>
      <c r="U29" s="5"/>
      <c r="V29" s="5"/>
      <c r="W29" s="5"/>
      <c r="X29" s="5"/>
      <c r="Y29" s="5"/>
    </row>
    <row r="30" spans="1:25" x14ac:dyDescent="0.25">
      <c r="A30" s="5"/>
      <c r="B30" s="5"/>
      <c r="C30" s="5"/>
      <c r="D30" s="5"/>
      <c r="E30" s="5"/>
      <c r="F30" s="5"/>
      <c r="G30" s="5"/>
      <c r="H30" s="5"/>
      <c r="I30" s="5"/>
      <c r="J30" s="5"/>
      <c r="K30" s="5"/>
      <c r="L30" s="5"/>
      <c r="M30" s="5"/>
      <c r="N30" s="5"/>
      <c r="O30" s="5"/>
      <c r="P30" s="5"/>
      <c r="Q30" s="5"/>
      <c r="R30" s="5"/>
      <c r="S30" s="5"/>
      <c r="T30" s="5"/>
      <c r="U30" s="5"/>
      <c r="V30" s="5"/>
      <c r="W30" s="5"/>
      <c r="X30" s="5"/>
      <c r="Y30" s="5"/>
    </row>
    <row r="31" spans="1:25" x14ac:dyDescent="0.25">
      <c r="A31" s="5"/>
      <c r="B31" s="5"/>
      <c r="C31" s="5"/>
      <c r="D31" s="5"/>
      <c r="E31" s="5"/>
      <c r="F31" s="5"/>
      <c r="G31" s="5"/>
      <c r="H31" s="5"/>
      <c r="I31" s="5"/>
      <c r="J31" s="5"/>
      <c r="K31" s="5"/>
      <c r="L31" s="5"/>
      <c r="M31" s="5"/>
      <c r="N31" s="5"/>
      <c r="O31" s="5"/>
      <c r="P31" s="5"/>
      <c r="Q31" s="5"/>
      <c r="R31" s="5"/>
      <c r="S31" s="5"/>
      <c r="T31" s="5"/>
      <c r="U31" s="5"/>
      <c r="V31" s="5"/>
      <c r="W31" s="5"/>
      <c r="X31" s="5"/>
      <c r="Y31" s="5"/>
    </row>
    <row r="32" spans="1:25" x14ac:dyDescent="0.25">
      <c r="A32" s="5"/>
      <c r="B32" s="5"/>
      <c r="C32" s="5"/>
      <c r="D32" s="5"/>
      <c r="E32" s="5"/>
      <c r="F32" s="5"/>
      <c r="G32" s="5"/>
      <c r="H32" s="5"/>
      <c r="I32" s="5"/>
      <c r="J32" s="5"/>
      <c r="K32" s="5"/>
      <c r="L32" s="5"/>
      <c r="M32" s="5"/>
      <c r="N32" s="5"/>
      <c r="O32" s="5"/>
      <c r="P32" s="5"/>
      <c r="Q32" s="5"/>
      <c r="R32" s="5"/>
      <c r="S32" s="5"/>
      <c r="T32" s="5"/>
      <c r="U32" s="5"/>
      <c r="V32" s="5"/>
      <c r="W32" s="5"/>
      <c r="X32" s="5"/>
      <c r="Y32" s="5"/>
    </row>
    <row r="33" spans="1:25" x14ac:dyDescent="0.25">
      <c r="A33" s="5"/>
      <c r="B33" s="5"/>
      <c r="C33" s="5"/>
      <c r="D33" s="5"/>
      <c r="E33" s="5"/>
      <c r="F33" s="5"/>
      <c r="G33" s="5"/>
      <c r="H33" s="5"/>
      <c r="I33" s="5"/>
      <c r="J33" s="5"/>
      <c r="K33" s="5"/>
      <c r="L33" s="5"/>
      <c r="M33" s="5"/>
      <c r="N33" s="5"/>
      <c r="O33" s="5"/>
      <c r="P33" s="5"/>
      <c r="Q33" s="5"/>
      <c r="R33" s="5"/>
      <c r="S33" s="5"/>
      <c r="T33" s="5"/>
      <c r="U33" s="5"/>
      <c r="V33" s="5"/>
      <c r="W33" s="5"/>
      <c r="X33" s="5"/>
      <c r="Y33" s="5"/>
    </row>
    <row r="34" spans="1:25" x14ac:dyDescent="0.25">
      <c r="A34" s="5"/>
      <c r="B34" s="5"/>
      <c r="C34" s="5"/>
      <c r="D34" s="5"/>
      <c r="E34" s="5"/>
      <c r="F34" s="5"/>
      <c r="G34" s="5"/>
      <c r="H34" s="5"/>
      <c r="I34" s="5"/>
      <c r="J34" s="5"/>
      <c r="K34" s="5"/>
      <c r="L34" s="5"/>
      <c r="M34" s="5"/>
      <c r="N34" s="5"/>
      <c r="O34" s="5"/>
      <c r="P34" s="5"/>
      <c r="Q34" s="5"/>
      <c r="R34" s="5"/>
      <c r="S34" s="5"/>
      <c r="T34" s="5"/>
      <c r="U34" s="5"/>
      <c r="V34" s="5"/>
      <c r="W34" s="5"/>
      <c r="X34" s="5"/>
      <c r="Y34" s="5"/>
    </row>
    <row r="35" spans="1:25" x14ac:dyDescent="0.25">
      <c r="A35" s="5"/>
      <c r="B35" s="5"/>
      <c r="C35" s="5"/>
      <c r="D35" s="5"/>
      <c r="E35" s="5"/>
      <c r="F35" s="5"/>
      <c r="G35" s="5"/>
      <c r="H35" s="5"/>
      <c r="I35" s="5"/>
      <c r="J35" s="5"/>
      <c r="K35" s="5"/>
      <c r="L35" s="5"/>
      <c r="M35" s="5"/>
      <c r="N35" s="5"/>
      <c r="O35" s="5"/>
      <c r="P35" s="5"/>
      <c r="Q35" s="5"/>
      <c r="R35" s="5"/>
      <c r="S35" s="5"/>
      <c r="T35" s="5"/>
      <c r="U35" s="5"/>
      <c r="V35" s="5"/>
      <c r="W35" s="5"/>
      <c r="X35" s="5"/>
      <c r="Y35" s="5"/>
    </row>
    <row r="36" spans="1:25" x14ac:dyDescent="0.25">
      <c r="A36" s="5"/>
      <c r="B36" s="5"/>
      <c r="C36" s="5"/>
      <c r="D36" s="5"/>
      <c r="E36" s="5"/>
      <c r="F36" s="5"/>
      <c r="G36" s="5"/>
      <c r="H36" s="5"/>
      <c r="I36" s="5"/>
      <c r="J36" s="5"/>
      <c r="K36" s="5"/>
      <c r="L36" s="5"/>
      <c r="M36" s="5"/>
      <c r="N36" s="5"/>
      <c r="O36" s="5"/>
      <c r="P36" s="5"/>
      <c r="Q36" s="5"/>
      <c r="R36" s="5"/>
      <c r="S36" s="5"/>
      <c r="T36" s="5"/>
      <c r="U36" s="5"/>
      <c r="V36" s="5"/>
      <c r="W36" s="5"/>
      <c r="X36" s="5"/>
      <c r="Y36" s="5"/>
    </row>
    <row r="37" spans="1:25" x14ac:dyDescent="0.25">
      <c r="A37" s="5"/>
      <c r="B37" s="5"/>
      <c r="C37" s="5"/>
      <c r="D37" s="5"/>
      <c r="E37" s="5"/>
      <c r="F37" s="5"/>
      <c r="G37" s="5"/>
      <c r="H37" s="5"/>
      <c r="I37" s="5"/>
      <c r="J37" s="5"/>
      <c r="K37" s="5"/>
      <c r="L37" s="5"/>
      <c r="M37" s="5"/>
      <c r="N37" s="5"/>
      <c r="O37" s="5"/>
      <c r="P37" s="5"/>
      <c r="Q37" s="5"/>
      <c r="R37" s="5"/>
      <c r="S37" s="5"/>
      <c r="T37" s="5"/>
      <c r="U37" s="5"/>
      <c r="V37" s="5"/>
      <c r="W37" s="5"/>
      <c r="X37" s="5"/>
      <c r="Y37" s="5"/>
    </row>
    <row r="38" spans="1:25" x14ac:dyDescent="0.25">
      <c r="A38" s="5"/>
      <c r="B38" s="5"/>
      <c r="C38" s="5"/>
      <c r="D38" s="5"/>
      <c r="E38" s="5"/>
      <c r="F38" s="5"/>
      <c r="G38" s="5"/>
      <c r="H38" s="5"/>
      <c r="I38" s="5"/>
      <c r="J38" s="5"/>
      <c r="K38" s="5"/>
      <c r="L38" s="5"/>
      <c r="M38" s="5"/>
      <c r="N38" s="5"/>
      <c r="O38" s="5"/>
      <c r="P38" s="5"/>
      <c r="Q38" s="5"/>
      <c r="R38" s="5"/>
      <c r="S38" s="5"/>
      <c r="T38" s="5"/>
      <c r="U38" s="5"/>
      <c r="V38" s="5"/>
      <c r="W38" s="5"/>
      <c r="X38" s="5"/>
      <c r="Y38" s="5"/>
    </row>
    <row r="39" spans="1:25" x14ac:dyDescent="0.25">
      <c r="A39" s="5"/>
      <c r="B39" s="5"/>
      <c r="C39" s="5"/>
      <c r="D39" s="5"/>
      <c r="E39" s="5"/>
      <c r="F39" s="5"/>
      <c r="G39" s="5"/>
      <c r="H39" s="5"/>
      <c r="I39" s="5"/>
      <c r="J39" s="5"/>
      <c r="K39" s="5"/>
      <c r="L39" s="5"/>
      <c r="M39" s="5"/>
      <c r="N39" s="5"/>
      <c r="O39" s="5"/>
      <c r="P39" s="5"/>
      <c r="Q39" s="5"/>
      <c r="R39" s="5"/>
      <c r="S39" s="5"/>
      <c r="T39" s="5"/>
      <c r="U39" s="5"/>
      <c r="V39" s="5"/>
      <c r="W39" s="5"/>
      <c r="X39" s="5"/>
      <c r="Y39" s="5"/>
    </row>
    <row r="40" spans="1:25" x14ac:dyDescent="0.25">
      <c r="A40" s="5"/>
      <c r="B40" s="5"/>
      <c r="C40" s="5"/>
      <c r="D40" s="5"/>
      <c r="E40" s="5"/>
      <c r="F40" s="5"/>
      <c r="G40" s="5"/>
      <c r="H40" s="5"/>
      <c r="I40" s="5"/>
      <c r="J40" s="5"/>
      <c r="K40" s="5"/>
      <c r="L40" s="5"/>
      <c r="M40" s="5"/>
      <c r="N40" s="5"/>
      <c r="O40" s="5"/>
      <c r="P40" s="5"/>
      <c r="Q40" s="5"/>
      <c r="R40" s="5"/>
      <c r="S40" s="5"/>
      <c r="T40" s="5"/>
      <c r="U40" s="5"/>
      <c r="V40" s="5"/>
      <c r="W40" s="5"/>
      <c r="X40" s="5"/>
      <c r="Y40" s="5"/>
    </row>
    <row r="41" spans="1:25" x14ac:dyDescent="0.25">
      <c r="A41" s="5"/>
      <c r="B41" s="5"/>
      <c r="C41" s="5"/>
      <c r="D41" s="5"/>
      <c r="E41" s="5"/>
      <c r="F41" s="5"/>
      <c r="G41" s="5"/>
      <c r="H41" s="5"/>
      <c r="I41" s="5"/>
      <c r="J41" s="5"/>
      <c r="K41" s="5"/>
      <c r="L41" s="5"/>
      <c r="M41" s="5"/>
      <c r="N41" s="5"/>
      <c r="O41" s="5"/>
      <c r="P41" s="5"/>
      <c r="Q41" s="5"/>
      <c r="R41" s="5"/>
      <c r="S41" s="5"/>
      <c r="T41" s="5"/>
      <c r="U41" s="5"/>
      <c r="V41" s="5"/>
      <c r="W41" s="5"/>
      <c r="X41" s="5"/>
      <c r="Y41" s="5"/>
    </row>
    <row r="42" spans="1:25" x14ac:dyDescent="0.25">
      <c r="A42" s="5"/>
      <c r="B42" s="5"/>
      <c r="C42" s="5"/>
      <c r="D42" s="5"/>
      <c r="E42" s="5"/>
      <c r="F42" s="5"/>
      <c r="G42" s="5"/>
      <c r="H42" s="5"/>
      <c r="I42" s="5"/>
      <c r="J42" s="5"/>
      <c r="K42" s="5"/>
      <c r="L42" s="5"/>
      <c r="M42" s="5"/>
      <c r="N42" s="5"/>
      <c r="O42" s="5"/>
      <c r="P42" s="5"/>
      <c r="Q42" s="5"/>
      <c r="R42" s="5"/>
      <c r="S42" s="5"/>
      <c r="T42" s="5"/>
      <c r="U42" s="5"/>
      <c r="V42" s="5"/>
      <c r="W42" s="5"/>
      <c r="X42" s="5"/>
      <c r="Y42" s="5"/>
    </row>
    <row r="43" spans="1:25" x14ac:dyDescent="0.25">
      <c r="A43" s="5"/>
      <c r="B43" s="5"/>
      <c r="C43" s="5"/>
      <c r="D43" s="5"/>
      <c r="E43" s="5"/>
      <c r="F43" s="5"/>
      <c r="G43" s="5"/>
      <c r="H43" s="5"/>
      <c r="I43" s="5"/>
      <c r="J43" s="5"/>
      <c r="K43" s="5"/>
      <c r="L43" s="5"/>
      <c r="M43" s="5"/>
      <c r="N43" s="5"/>
      <c r="O43" s="5"/>
      <c r="P43" s="5"/>
      <c r="Q43" s="5"/>
      <c r="R43" s="5"/>
      <c r="S43" s="5"/>
      <c r="T43" s="5"/>
      <c r="U43" s="5"/>
      <c r="V43" s="5"/>
      <c r="W43" s="5"/>
      <c r="X43" s="5"/>
      <c r="Y43" s="5"/>
    </row>
  </sheetData>
  <pageMargins left="0.7" right="0.7" top="0.75" bottom="0.75" header="0.3" footer="0.3"/>
  <pageSetup paperSize="9" orientation="portrait" horizontalDpi="1200" verticalDpi="120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7C826-34A4-47D0-9E6F-07C289ED8ECA}">
  <dimension ref="A1:L24"/>
  <sheetViews>
    <sheetView workbookViewId="0">
      <selection activeCell="N11" sqref="N11"/>
    </sheetView>
  </sheetViews>
  <sheetFormatPr defaultRowHeight="15" x14ac:dyDescent="0.25"/>
  <sheetData>
    <row r="1" spans="1:12" x14ac:dyDescent="0.25">
      <c r="A1" s="14"/>
      <c r="B1" s="14"/>
      <c r="C1" s="14"/>
      <c r="D1" s="14"/>
      <c r="E1" s="14"/>
      <c r="F1" s="14"/>
      <c r="G1" s="14"/>
      <c r="H1" s="14"/>
      <c r="I1" s="14"/>
      <c r="J1" s="14"/>
      <c r="K1" s="14"/>
      <c r="L1" s="14"/>
    </row>
    <row r="2" spans="1:12" x14ac:dyDescent="0.25">
      <c r="A2" s="14"/>
      <c r="B2" s="14"/>
      <c r="C2" s="14"/>
      <c r="D2" s="14"/>
      <c r="E2" s="14"/>
      <c r="F2" s="14"/>
      <c r="G2" s="14"/>
      <c r="H2" s="14"/>
      <c r="I2" s="14"/>
      <c r="J2" s="14"/>
      <c r="K2" s="14"/>
      <c r="L2" s="14"/>
    </row>
    <row r="3" spans="1:12" x14ac:dyDescent="0.25">
      <c r="A3" s="14"/>
      <c r="B3" s="14"/>
      <c r="C3" s="14"/>
      <c r="D3" s="14"/>
      <c r="E3" s="14"/>
      <c r="F3" s="14"/>
      <c r="G3" s="14"/>
      <c r="H3" s="14"/>
      <c r="I3" s="14"/>
      <c r="J3" s="14"/>
      <c r="K3" s="14"/>
      <c r="L3" s="14"/>
    </row>
    <row r="4" spans="1:12" x14ac:dyDescent="0.25">
      <c r="A4" s="14"/>
      <c r="B4" s="14"/>
      <c r="C4" s="15"/>
      <c r="D4" s="14"/>
      <c r="E4" s="14"/>
      <c r="F4" s="14"/>
      <c r="G4" s="14"/>
      <c r="H4" s="14"/>
      <c r="I4" s="14"/>
      <c r="J4" s="14"/>
      <c r="K4" s="14"/>
      <c r="L4" s="14"/>
    </row>
    <row r="5" spans="1:12" x14ac:dyDescent="0.25">
      <c r="A5" s="14"/>
      <c r="B5" s="14"/>
      <c r="C5" s="14"/>
      <c r="D5" s="14"/>
      <c r="E5" s="14"/>
      <c r="F5" s="14"/>
      <c r="G5" s="14"/>
      <c r="H5" s="14"/>
      <c r="I5" s="14"/>
      <c r="J5" s="14"/>
      <c r="K5" s="14"/>
      <c r="L5" s="14"/>
    </row>
    <row r="6" spans="1:12" x14ac:dyDescent="0.25">
      <c r="A6" s="14"/>
      <c r="B6" s="14"/>
      <c r="C6" s="14"/>
      <c r="D6" s="14"/>
      <c r="E6" s="14"/>
      <c r="F6" s="14"/>
      <c r="G6" s="14"/>
      <c r="H6" s="14"/>
      <c r="I6" s="14"/>
      <c r="J6" s="14"/>
      <c r="K6" s="14"/>
      <c r="L6" s="14"/>
    </row>
    <row r="7" spans="1:12" x14ac:dyDescent="0.25">
      <c r="A7" s="14"/>
      <c r="B7" s="14"/>
      <c r="C7" s="14"/>
      <c r="D7" s="14"/>
      <c r="E7" s="14"/>
      <c r="F7" s="14"/>
      <c r="G7" s="14"/>
      <c r="H7" s="14"/>
      <c r="I7" s="14"/>
      <c r="J7" s="14"/>
      <c r="K7" s="14"/>
      <c r="L7" s="14"/>
    </row>
    <row r="8" spans="1:12" x14ac:dyDescent="0.25">
      <c r="A8" s="14"/>
      <c r="B8" s="14"/>
      <c r="C8" s="14"/>
      <c r="D8" s="14"/>
      <c r="E8" s="14"/>
      <c r="F8" s="14"/>
      <c r="G8" s="14"/>
      <c r="H8" s="14"/>
      <c r="I8" s="14"/>
      <c r="J8" s="14"/>
      <c r="K8" s="14"/>
      <c r="L8" s="14"/>
    </row>
    <row r="9" spans="1:12" x14ac:dyDescent="0.25">
      <c r="A9" s="14"/>
      <c r="B9" s="14"/>
      <c r="C9" s="14"/>
      <c r="D9" s="14"/>
      <c r="E9" s="14"/>
      <c r="F9" s="14"/>
      <c r="G9" s="14"/>
      <c r="H9" s="14"/>
      <c r="I9" s="14"/>
      <c r="J9" s="14"/>
      <c r="K9" s="14"/>
      <c r="L9" s="14"/>
    </row>
    <row r="10" spans="1:12" x14ac:dyDescent="0.25">
      <c r="A10" s="14"/>
      <c r="B10" s="14"/>
      <c r="C10" s="14"/>
      <c r="D10" s="14"/>
      <c r="E10" s="14"/>
      <c r="F10" s="14"/>
      <c r="G10" s="14"/>
      <c r="H10" s="14"/>
      <c r="I10" s="14"/>
      <c r="J10" s="14"/>
      <c r="K10" s="14"/>
      <c r="L10" s="14"/>
    </row>
    <row r="11" spans="1:12" x14ac:dyDescent="0.25">
      <c r="A11" s="14"/>
      <c r="B11" s="14"/>
      <c r="C11" s="14"/>
      <c r="D11" s="14"/>
      <c r="E11" s="14"/>
      <c r="F11" s="14"/>
      <c r="G11" s="14"/>
      <c r="H11" s="14"/>
      <c r="I11" s="14"/>
      <c r="J11" s="14"/>
      <c r="K11" s="14"/>
      <c r="L11" s="14"/>
    </row>
    <row r="12" spans="1:12" x14ac:dyDescent="0.25">
      <c r="A12" s="14"/>
      <c r="B12" s="14"/>
      <c r="C12" s="14"/>
      <c r="D12" s="14"/>
      <c r="E12" s="14"/>
      <c r="F12" s="14"/>
      <c r="G12" s="14"/>
      <c r="H12" s="14"/>
      <c r="I12" s="14"/>
      <c r="J12" s="14"/>
      <c r="K12" s="14"/>
      <c r="L12" s="14"/>
    </row>
    <row r="13" spans="1:12" x14ac:dyDescent="0.25">
      <c r="A13" s="14"/>
      <c r="B13" s="14"/>
      <c r="C13" s="14"/>
      <c r="D13" s="14"/>
      <c r="E13" s="14"/>
      <c r="F13" s="14"/>
      <c r="G13" s="14"/>
      <c r="H13" s="14"/>
      <c r="I13" s="14"/>
      <c r="J13" s="14"/>
      <c r="K13" s="14"/>
      <c r="L13" s="14"/>
    </row>
    <row r="14" spans="1:12" x14ac:dyDescent="0.25">
      <c r="A14" s="14"/>
      <c r="B14" s="14"/>
      <c r="C14" s="14"/>
      <c r="D14" s="14"/>
      <c r="E14" s="14"/>
      <c r="F14" s="14"/>
      <c r="G14" s="14"/>
      <c r="H14" s="14"/>
      <c r="I14" s="14"/>
      <c r="J14" s="14"/>
      <c r="K14" s="14"/>
      <c r="L14" s="14"/>
    </row>
    <row r="15" spans="1:12" x14ac:dyDescent="0.25">
      <c r="A15" s="14"/>
      <c r="B15" s="14"/>
      <c r="C15" s="14"/>
      <c r="D15" s="14"/>
      <c r="E15" s="14"/>
      <c r="F15" s="14"/>
      <c r="G15" s="14"/>
      <c r="H15" s="14"/>
      <c r="I15" s="14"/>
      <c r="J15" s="14"/>
      <c r="K15" s="14"/>
      <c r="L15" s="14"/>
    </row>
    <row r="16" spans="1:12" x14ac:dyDescent="0.25">
      <c r="A16" s="14"/>
      <c r="B16" s="14"/>
      <c r="C16" s="14"/>
      <c r="D16" s="14"/>
      <c r="E16" s="14"/>
      <c r="F16" s="14"/>
      <c r="G16" s="14"/>
      <c r="H16" s="14"/>
      <c r="I16" s="14"/>
      <c r="J16" s="14"/>
      <c r="K16" s="14"/>
      <c r="L16" s="14"/>
    </row>
    <row r="17" spans="1:12" x14ac:dyDescent="0.25">
      <c r="A17" s="14"/>
      <c r="B17" s="14"/>
      <c r="C17" s="14"/>
      <c r="D17" s="14"/>
      <c r="E17" s="14"/>
      <c r="F17" s="14"/>
      <c r="G17" s="14"/>
      <c r="H17" s="14"/>
      <c r="I17" s="14"/>
      <c r="J17" s="14"/>
      <c r="K17" s="14"/>
      <c r="L17" s="14"/>
    </row>
    <row r="18" spans="1:12" x14ac:dyDescent="0.25">
      <c r="A18" s="14"/>
      <c r="B18" s="14"/>
      <c r="C18" s="14"/>
      <c r="D18" s="14"/>
      <c r="E18" s="14"/>
      <c r="F18" s="14"/>
      <c r="G18" s="14"/>
      <c r="H18" s="14"/>
      <c r="I18" s="14"/>
      <c r="J18" s="14"/>
      <c r="K18" s="14"/>
      <c r="L18" s="14"/>
    </row>
    <row r="19" spans="1:12" x14ac:dyDescent="0.25">
      <c r="A19" s="14"/>
      <c r="B19" s="14"/>
      <c r="C19" s="14"/>
      <c r="D19" s="14"/>
      <c r="E19" s="14"/>
      <c r="F19" s="14"/>
      <c r="G19" s="14"/>
      <c r="H19" s="14"/>
      <c r="I19" s="14"/>
      <c r="J19" s="14"/>
      <c r="K19" s="14"/>
      <c r="L19" s="14"/>
    </row>
    <row r="20" spans="1:12" x14ac:dyDescent="0.25">
      <c r="A20" s="14"/>
      <c r="B20" s="14"/>
      <c r="C20" s="14"/>
      <c r="D20" s="14"/>
      <c r="E20" s="14"/>
      <c r="F20" s="14"/>
      <c r="G20" s="14"/>
      <c r="H20" s="14"/>
      <c r="I20" s="14"/>
      <c r="J20" s="14"/>
      <c r="K20" s="14"/>
      <c r="L20" s="14"/>
    </row>
    <row r="21" spans="1:12" x14ac:dyDescent="0.25">
      <c r="A21" s="14"/>
      <c r="B21" s="14"/>
      <c r="C21" s="14"/>
      <c r="D21" s="14"/>
      <c r="E21" s="14"/>
      <c r="F21" s="14"/>
      <c r="G21" s="14"/>
      <c r="H21" s="14"/>
      <c r="I21" s="14"/>
      <c r="J21" s="14"/>
      <c r="K21" s="14"/>
      <c r="L21" s="14"/>
    </row>
    <row r="22" spans="1:12" x14ac:dyDescent="0.25">
      <c r="A22" s="14"/>
      <c r="B22" s="14"/>
      <c r="C22" s="14"/>
      <c r="D22" s="14"/>
      <c r="E22" s="14"/>
      <c r="F22" s="14"/>
      <c r="G22" s="14"/>
      <c r="H22" s="14"/>
      <c r="I22" s="14"/>
      <c r="J22" s="14"/>
      <c r="K22" s="14"/>
      <c r="L22" s="14"/>
    </row>
    <row r="23" spans="1:12" x14ac:dyDescent="0.25">
      <c r="A23" s="14"/>
      <c r="B23" s="14"/>
      <c r="C23" s="14"/>
      <c r="D23" s="14"/>
      <c r="E23" s="14"/>
      <c r="F23" s="14"/>
      <c r="G23" s="14"/>
      <c r="H23" s="14"/>
      <c r="I23" s="14"/>
      <c r="J23" s="14"/>
      <c r="K23" s="14"/>
      <c r="L23" s="14"/>
    </row>
    <row r="24" spans="1:12" x14ac:dyDescent="0.25">
      <c r="A24" s="14"/>
      <c r="B24" s="14"/>
      <c r="C24" s="14"/>
      <c r="D24" s="14"/>
      <c r="E24" s="14"/>
      <c r="F24" s="14"/>
      <c r="G24" s="14"/>
      <c r="H24" s="14"/>
      <c r="I24" s="14"/>
      <c r="J24" s="14"/>
      <c r="K24" s="14"/>
      <c r="L24"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EA02-9B29-4609-B971-9247EFFDDFBF}">
  <dimension ref="A1:N25"/>
  <sheetViews>
    <sheetView workbookViewId="0">
      <selection sqref="A1:N25"/>
    </sheetView>
  </sheetViews>
  <sheetFormatPr defaultRowHeight="15" x14ac:dyDescent="0.25"/>
  <sheetData>
    <row r="1" spans="1:14" x14ac:dyDescent="0.25">
      <c r="A1" s="7"/>
      <c r="B1" s="7"/>
      <c r="C1" s="7"/>
      <c r="D1" s="7"/>
      <c r="E1" s="7"/>
      <c r="F1" s="7"/>
      <c r="G1" s="7"/>
      <c r="H1" s="7"/>
      <c r="I1" s="7"/>
      <c r="J1" s="7"/>
      <c r="K1" s="7"/>
      <c r="L1" s="7"/>
      <c r="M1" s="7"/>
      <c r="N1" s="7"/>
    </row>
    <row r="2" spans="1:14" x14ac:dyDescent="0.25">
      <c r="A2" s="7"/>
      <c r="B2" s="7"/>
      <c r="C2" s="7"/>
      <c r="D2" s="7"/>
      <c r="E2" s="7"/>
      <c r="F2" s="7"/>
      <c r="G2" s="7"/>
      <c r="H2" s="7"/>
      <c r="I2" s="7"/>
      <c r="J2" s="7"/>
      <c r="K2" s="7"/>
      <c r="L2" s="7"/>
      <c r="M2" s="7"/>
      <c r="N2" s="7"/>
    </row>
    <row r="3" spans="1:14" x14ac:dyDescent="0.25">
      <c r="A3" s="7"/>
      <c r="B3" s="7"/>
      <c r="C3" s="7"/>
      <c r="D3" s="7"/>
      <c r="E3" s="7"/>
      <c r="F3" s="7"/>
      <c r="G3" s="7"/>
      <c r="H3" s="7"/>
      <c r="I3" s="7"/>
      <c r="J3" s="7"/>
      <c r="K3" s="7"/>
      <c r="L3" s="7"/>
      <c r="M3" s="7"/>
      <c r="N3" s="7"/>
    </row>
    <row r="4" spans="1:14" x14ac:dyDescent="0.25">
      <c r="A4" s="7"/>
      <c r="B4" s="7"/>
      <c r="C4" s="7"/>
      <c r="D4" s="7"/>
      <c r="E4" s="7"/>
      <c r="F4" s="7"/>
      <c r="G4" s="7"/>
      <c r="H4" s="7"/>
      <c r="I4" s="7"/>
      <c r="J4" s="7"/>
      <c r="K4" s="7"/>
      <c r="L4" s="7"/>
      <c r="M4" s="7"/>
      <c r="N4" s="7"/>
    </row>
    <row r="5" spans="1:14" x14ac:dyDescent="0.25">
      <c r="A5" s="7"/>
      <c r="B5" s="7"/>
      <c r="C5" s="7"/>
      <c r="D5" s="7"/>
      <c r="E5" s="7"/>
      <c r="F5" s="7"/>
      <c r="G5" s="7"/>
      <c r="H5" s="7"/>
      <c r="I5" s="7"/>
      <c r="J5" s="7"/>
      <c r="K5" s="7"/>
      <c r="L5" s="7"/>
      <c r="M5" s="7"/>
      <c r="N5" s="7"/>
    </row>
    <row r="6" spans="1:14" x14ac:dyDescent="0.25">
      <c r="A6" s="7"/>
      <c r="B6" s="7"/>
      <c r="C6" s="7"/>
      <c r="D6" s="7"/>
      <c r="E6" s="7"/>
      <c r="F6" s="7"/>
      <c r="G6" s="7"/>
      <c r="H6" s="7"/>
      <c r="I6" s="7"/>
      <c r="J6" s="7"/>
      <c r="K6" s="7"/>
      <c r="L6" s="7"/>
      <c r="M6" s="7"/>
      <c r="N6" s="7"/>
    </row>
    <row r="7" spans="1:14" x14ac:dyDescent="0.25">
      <c r="A7" s="7"/>
      <c r="B7" s="7"/>
      <c r="C7" s="7"/>
      <c r="D7" s="7"/>
      <c r="E7" s="7"/>
      <c r="F7" s="7"/>
      <c r="G7" s="7"/>
      <c r="H7" s="7"/>
      <c r="I7" s="7"/>
      <c r="J7" s="7"/>
      <c r="K7" s="7"/>
      <c r="L7" s="7"/>
      <c r="M7" s="7"/>
      <c r="N7" s="7"/>
    </row>
    <row r="8" spans="1:14" x14ac:dyDescent="0.25">
      <c r="A8" s="7"/>
      <c r="B8" s="7"/>
      <c r="C8" s="7"/>
      <c r="D8" s="7"/>
      <c r="E8" s="7"/>
      <c r="F8" s="7"/>
      <c r="G8" s="7"/>
      <c r="H8" s="7"/>
      <c r="I8" s="7"/>
      <c r="J8" s="7"/>
      <c r="K8" s="7"/>
      <c r="L8" s="7"/>
      <c r="M8" s="7"/>
      <c r="N8" s="7"/>
    </row>
    <row r="9" spans="1:14" x14ac:dyDescent="0.25">
      <c r="A9" s="7"/>
      <c r="B9" s="7"/>
      <c r="C9" s="7"/>
      <c r="D9" s="7"/>
      <c r="E9" s="7"/>
      <c r="F9" s="7"/>
      <c r="G9" s="7"/>
      <c r="H9" s="7"/>
      <c r="I9" s="7"/>
      <c r="J9" s="7"/>
      <c r="K9" s="7"/>
      <c r="L9" s="7"/>
      <c r="M9" s="7"/>
      <c r="N9" s="7"/>
    </row>
    <row r="10" spans="1:14" x14ac:dyDescent="0.25">
      <c r="A10" s="7"/>
      <c r="B10" s="7"/>
      <c r="C10" s="7"/>
      <c r="D10" s="7"/>
      <c r="E10" s="7"/>
      <c r="F10" s="7"/>
      <c r="G10" s="7"/>
      <c r="H10" s="7"/>
      <c r="I10" s="7"/>
      <c r="J10" s="7"/>
      <c r="K10" s="7"/>
      <c r="L10" s="7"/>
      <c r="M10" s="7"/>
      <c r="N10" s="7"/>
    </row>
    <row r="11" spans="1:14" x14ac:dyDescent="0.25">
      <c r="A11" s="7"/>
      <c r="B11" s="7"/>
      <c r="C11" s="7"/>
      <c r="D11" s="7"/>
      <c r="E11" s="7"/>
      <c r="F11" s="7"/>
      <c r="G11" s="7"/>
      <c r="H11" s="7"/>
      <c r="I11" s="7"/>
      <c r="J11" s="7"/>
      <c r="K11" s="7"/>
      <c r="L11" s="7"/>
      <c r="M11" s="7"/>
      <c r="N11" s="7"/>
    </row>
    <row r="12" spans="1:14" x14ac:dyDescent="0.25">
      <c r="A12" s="7"/>
      <c r="B12" s="7"/>
      <c r="C12" s="7"/>
      <c r="D12" s="7"/>
      <c r="E12" s="7"/>
      <c r="F12" s="7"/>
      <c r="G12" s="7"/>
      <c r="H12" s="7"/>
      <c r="I12" s="7"/>
      <c r="J12" s="7"/>
      <c r="K12" s="7"/>
      <c r="L12" s="7"/>
      <c r="M12" s="7"/>
      <c r="N12" s="7"/>
    </row>
    <row r="13" spans="1:14" x14ac:dyDescent="0.25">
      <c r="A13" s="7"/>
      <c r="B13" s="7"/>
      <c r="C13" s="7"/>
      <c r="D13" s="7"/>
      <c r="E13" s="7"/>
      <c r="F13" s="7"/>
      <c r="G13" s="7"/>
      <c r="H13" s="7"/>
      <c r="I13" s="7"/>
      <c r="J13" s="7"/>
      <c r="K13" s="7"/>
      <c r="L13" s="7"/>
      <c r="M13" s="7"/>
      <c r="N13" s="7"/>
    </row>
    <row r="14" spans="1:14" x14ac:dyDescent="0.25">
      <c r="A14" s="7"/>
      <c r="B14" s="7"/>
      <c r="C14" s="7"/>
      <c r="D14" s="7"/>
      <c r="E14" s="7"/>
      <c r="F14" s="7"/>
      <c r="G14" s="7"/>
      <c r="H14" s="7"/>
      <c r="I14" s="7"/>
      <c r="J14" s="7"/>
      <c r="K14" s="7"/>
      <c r="L14" s="7"/>
      <c r="M14" s="7"/>
      <c r="N14" s="7"/>
    </row>
    <row r="15" spans="1:14" x14ac:dyDescent="0.25">
      <c r="A15" s="7"/>
      <c r="B15" s="7"/>
      <c r="C15" s="7"/>
      <c r="D15" s="7"/>
      <c r="E15" s="7"/>
      <c r="F15" s="7"/>
      <c r="G15" s="7"/>
      <c r="H15" s="7"/>
      <c r="I15" s="7"/>
      <c r="J15" s="7"/>
      <c r="K15" s="7"/>
      <c r="L15" s="7"/>
      <c r="M15" s="7"/>
      <c r="N15" s="7"/>
    </row>
    <row r="16" spans="1:14" x14ac:dyDescent="0.25">
      <c r="A16" s="7"/>
      <c r="B16" s="7"/>
      <c r="C16" s="7"/>
      <c r="D16" s="7"/>
      <c r="E16" s="7"/>
      <c r="F16" s="7"/>
      <c r="G16" s="7"/>
      <c r="H16" s="7"/>
      <c r="I16" s="7"/>
      <c r="J16" s="7"/>
      <c r="K16" s="7"/>
      <c r="L16" s="7"/>
      <c r="M16" s="7"/>
      <c r="N16" s="7"/>
    </row>
    <row r="17" spans="1:14" x14ac:dyDescent="0.25">
      <c r="A17" s="7"/>
      <c r="B17" s="7"/>
      <c r="C17" s="7"/>
      <c r="D17" s="7"/>
      <c r="E17" s="7"/>
      <c r="F17" s="7"/>
      <c r="G17" s="7"/>
      <c r="H17" s="7"/>
      <c r="I17" s="7"/>
      <c r="J17" s="7"/>
      <c r="K17" s="7"/>
      <c r="L17" s="7"/>
      <c r="M17" s="7"/>
      <c r="N17" s="7"/>
    </row>
    <row r="18" spans="1:14" x14ac:dyDescent="0.25">
      <c r="A18" s="7"/>
      <c r="B18" s="7"/>
      <c r="C18" s="7"/>
      <c r="D18" s="7"/>
      <c r="E18" s="7"/>
      <c r="F18" s="7"/>
      <c r="G18" s="7"/>
      <c r="H18" s="7"/>
      <c r="I18" s="7"/>
      <c r="J18" s="7"/>
      <c r="K18" s="7"/>
      <c r="L18" s="7"/>
      <c r="M18" s="7"/>
      <c r="N18" s="7"/>
    </row>
    <row r="19" spans="1:14" x14ac:dyDescent="0.25">
      <c r="A19" s="7"/>
      <c r="B19" s="7"/>
      <c r="C19" s="7"/>
      <c r="D19" s="7"/>
      <c r="E19" s="7"/>
      <c r="F19" s="7"/>
      <c r="G19" s="7"/>
      <c r="H19" s="7"/>
      <c r="I19" s="7"/>
      <c r="J19" s="7"/>
      <c r="K19" s="7"/>
      <c r="L19" s="7"/>
      <c r="M19" s="7"/>
      <c r="N19" s="7"/>
    </row>
    <row r="20" spans="1:14" x14ac:dyDescent="0.25">
      <c r="A20" s="7"/>
      <c r="B20" s="7"/>
      <c r="C20" s="7"/>
      <c r="D20" s="7"/>
      <c r="E20" s="7"/>
      <c r="F20" s="7"/>
      <c r="G20" s="7"/>
      <c r="H20" s="7"/>
      <c r="I20" s="7"/>
      <c r="J20" s="7"/>
      <c r="K20" s="7"/>
      <c r="L20" s="7"/>
      <c r="M20" s="7"/>
      <c r="N20" s="7"/>
    </row>
    <row r="21" spans="1:14" x14ac:dyDescent="0.25">
      <c r="A21" s="7"/>
      <c r="B21" s="7"/>
      <c r="C21" s="7"/>
      <c r="D21" s="7"/>
      <c r="E21" s="7"/>
      <c r="F21" s="7"/>
      <c r="G21" s="7"/>
      <c r="H21" s="7"/>
      <c r="I21" s="7"/>
      <c r="J21" s="7"/>
      <c r="K21" s="7"/>
      <c r="L21" s="7"/>
      <c r="M21" s="7"/>
      <c r="N21" s="7"/>
    </row>
    <row r="22" spans="1:14" x14ac:dyDescent="0.25">
      <c r="A22" s="7"/>
      <c r="B22" s="7"/>
      <c r="C22" s="7"/>
      <c r="D22" s="7"/>
      <c r="E22" s="7"/>
      <c r="F22" s="7"/>
      <c r="G22" s="7"/>
      <c r="H22" s="7"/>
      <c r="I22" s="7"/>
      <c r="J22" s="7"/>
      <c r="K22" s="7"/>
      <c r="L22" s="7"/>
      <c r="M22" s="7"/>
      <c r="N22" s="7"/>
    </row>
    <row r="23" spans="1:14" x14ac:dyDescent="0.25">
      <c r="A23" s="7"/>
      <c r="B23" s="7"/>
      <c r="C23" s="7"/>
      <c r="D23" s="7"/>
      <c r="E23" s="7"/>
      <c r="F23" s="7"/>
      <c r="G23" s="7"/>
      <c r="H23" s="7"/>
      <c r="I23" s="7"/>
      <c r="J23" s="7"/>
      <c r="K23" s="7"/>
      <c r="L23" s="7"/>
      <c r="M23" s="7"/>
      <c r="N23" s="7"/>
    </row>
    <row r="24" spans="1:14" x14ac:dyDescent="0.25">
      <c r="A24" s="7"/>
      <c r="B24" s="7"/>
      <c r="C24" s="7"/>
      <c r="D24" s="7"/>
      <c r="E24" s="7"/>
      <c r="F24" s="7"/>
      <c r="G24" s="7"/>
      <c r="H24" s="7"/>
      <c r="I24" s="7"/>
      <c r="J24" s="7"/>
      <c r="K24" s="7"/>
      <c r="L24" s="7"/>
      <c r="M24" s="7"/>
      <c r="N24" s="7"/>
    </row>
    <row r="25" spans="1:14" x14ac:dyDescent="0.25">
      <c r="A25" s="7"/>
      <c r="B25" s="7"/>
      <c r="C25" s="7"/>
      <c r="D25" s="7"/>
      <c r="E25" s="7"/>
      <c r="F25" s="7"/>
      <c r="G25" s="7"/>
      <c r="H25" s="7"/>
      <c r="I25" s="7"/>
      <c r="J25" s="7"/>
      <c r="K25" s="7"/>
      <c r="L25" s="7"/>
      <c r="M25" s="7"/>
      <c r="N25" s="7"/>
    </row>
  </sheetData>
  <mergeCells count="1">
    <mergeCell ref="A1:N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B88C-A907-41E2-BCD5-34578F325355}">
  <dimension ref="A1"/>
  <sheetViews>
    <sheetView topLeftCell="A4" workbookViewId="0">
      <selection activeCell="G29" sqref="G29"/>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4B73-1CEB-4EF2-8DC7-EC231C93D1D1}">
  <dimension ref="A1"/>
  <sheetViews>
    <sheetView workbookViewId="0">
      <selection activeCell="H29" sqref="H29"/>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E5817-A036-454E-93FD-640AA8354C72}">
  <dimension ref="A1:N26"/>
  <sheetViews>
    <sheetView workbookViewId="0">
      <selection activeCell="Q9" sqref="Q9"/>
    </sheetView>
  </sheetViews>
  <sheetFormatPr defaultRowHeight="15" x14ac:dyDescent="0.25"/>
  <sheetData>
    <row r="1" spans="1:14" x14ac:dyDescent="0.25">
      <c r="A1" s="7"/>
      <c r="B1" s="7"/>
      <c r="C1" s="7"/>
      <c r="D1" s="7"/>
      <c r="E1" s="7"/>
      <c r="F1" s="7"/>
      <c r="G1" s="7"/>
      <c r="H1" s="7"/>
      <c r="I1" s="7"/>
      <c r="J1" s="7"/>
      <c r="K1" s="7"/>
      <c r="L1" s="7"/>
      <c r="M1" s="7"/>
      <c r="N1" s="7"/>
    </row>
    <row r="2" spans="1:14" x14ac:dyDescent="0.25">
      <c r="A2" s="7"/>
      <c r="B2" s="7"/>
      <c r="C2" s="7"/>
      <c r="D2" s="7"/>
      <c r="E2" s="7"/>
      <c r="F2" s="7"/>
      <c r="G2" s="7"/>
      <c r="H2" s="7"/>
      <c r="I2" s="7"/>
      <c r="J2" s="7"/>
      <c r="K2" s="7"/>
      <c r="L2" s="7"/>
      <c r="M2" s="7"/>
      <c r="N2" s="7"/>
    </row>
    <row r="3" spans="1:14" x14ac:dyDescent="0.25">
      <c r="A3" s="7"/>
      <c r="B3" s="7"/>
      <c r="C3" s="7"/>
      <c r="D3" s="7"/>
      <c r="E3" s="7"/>
      <c r="F3" s="7"/>
      <c r="G3" s="7"/>
      <c r="H3" s="7"/>
      <c r="I3" s="7"/>
      <c r="J3" s="7"/>
      <c r="K3" s="7"/>
      <c r="L3" s="7"/>
      <c r="M3" s="7"/>
      <c r="N3" s="7"/>
    </row>
    <row r="4" spans="1:14" x14ac:dyDescent="0.25">
      <c r="A4" s="7"/>
      <c r="B4" s="7"/>
      <c r="C4" s="7"/>
      <c r="D4" s="7"/>
      <c r="E4" s="7"/>
      <c r="F4" s="7"/>
      <c r="G4" s="7"/>
      <c r="H4" s="7"/>
      <c r="I4" s="7"/>
      <c r="J4" s="7"/>
      <c r="K4" s="7"/>
      <c r="L4" s="7"/>
      <c r="M4" s="7"/>
      <c r="N4" s="7"/>
    </row>
    <row r="5" spans="1:14" x14ac:dyDescent="0.25">
      <c r="A5" s="7"/>
      <c r="B5" s="7"/>
      <c r="C5" s="7"/>
      <c r="D5" s="7"/>
      <c r="E5" s="7"/>
      <c r="F5" s="7"/>
      <c r="G5" s="7"/>
      <c r="H5" s="7"/>
      <c r="I5" s="7"/>
      <c r="J5" s="7"/>
      <c r="K5" s="7"/>
      <c r="L5" s="7"/>
      <c r="M5" s="7"/>
      <c r="N5" s="7"/>
    </row>
    <row r="6" spans="1:14" x14ac:dyDescent="0.25">
      <c r="A6" s="7"/>
      <c r="B6" s="7"/>
      <c r="C6" s="7"/>
      <c r="D6" s="7"/>
      <c r="E6" s="7"/>
      <c r="F6" s="7"/>
      <c r="G6" s="7"/>
      <c r="H6" s="7"/>
      <c r="I6" s="7"/>
      <c r="J6" s="7"/>
      <c r="K6" s="7"/>
      <c r="L6" s="7"/>
      <c r="M6" s="7"/>
      <c r="N6" s="7"/>
    </row>
    <row r="7" spans="1:14" x14ac:dyDescent="0.25">
      <c r="A7" s="7"/>
      <c r="B7" s="7"/>
      <c r="C7" s="7"/>
      <c r="D7" s="7"/>
      <c r="E7" s="7"/>
      <c r="F7" s="7"/>
      <c r="G7" s="7"/>
      <c r="H7" s="7"/>
      <c r="I7" s="7"/>
      <c r="J7" s="7"/>
      <c r="K7" s="7"/>
      <c r="L7" s="7"/>
      <c r="M7" s="7"/>
      <c r="N7" s="7"/>
    </row>
    <row r="8" spans="1:14" x14ac:dyDescent="0.25">
      <c r="A8" s="7"/>
      <c r="B8" s="7"/>
      <c r="C8" s="7"/>
      <c r="D8" s="7"/>
      <c r="E8" s="7"/>
      <c r="F8" s="7"/>
      <c r="G8" s="7"/>
      <c r="H8" s="7"/>
      <c r="I8" s="7"/>
      <c r="J8" s="7"/>
      <c r="K8" s="7"/>
      <c r="L8" s="7"/>
      <c r="M8" s="7"/>
      <c r="N8" s="7"/>
    </row>
    <row r="9" spans="1:14" x14ac:dyDescent="0.25">
      <c r="A9" s="7"/>
      <c r="B9" s="7"/>
      <c r="C9" s="7"/>
      <c r="D9" s="7"/>
      <c r="E9" s="7"/>
      <c r="F9" s="7"/>
      <c r="G9" s="7"/>
      <c r="H9" s="7"/>
      <c r="I9" s="7"/>
      <c r="J9" s="7"/>
      <c r="K9" s="7"/>
      <c r="L9" s="7"/>
      <c r="M9" s="7"/>
      <c r="N9" s="7"/>
    </row>
    <row r="10" spans="1:14" x14ac:dyDescent="0.25">
      <c r="A10" s="7"/>
      <c r="B10" s="7"/>
      <c r="C10" s="7"/>
      <c r="D10" s="7"/>
      <c r="E10" s="7"/>
      <c r="F10" s="7"/>
      <c r="G10" s="7"/>
      <c r="H10" s="7"/>
      <c r="I10" s="7"/>
      <c r="J10" s="7"/>
      <c r="K10" s="7"/>
      <c r="L10" s="7"/>
      <c r="M10" s="7"/>
      <c r="N10" s="7"/>
    </row>
    <row r="11" spans="1:14" x14ac:dyDescent="0.25">
      <c r="A11" s="7"/>
      <c r="B11" s="7"/>
      <c r="C11" s="7"/>
      <c r="D11" s="7"/>
      <c r="E11" s="7"/>
      <c r="F11" s="7"/>
      <c r="G11" s="7"/>
      <c r="H11" s="7"/>
      <c r="I11" s="7"/>
      <c r="J11" s="7"/>
      <c r="K11" s="7"/>
      <c r="L11" s="7"/>
      <c r="M11" s="7"/>
      <c r="N11" s="7"/>
    </row>
    <row r="12" spans="1:14" x14ac:dyDescent="0.25">
      <c r="A12" s="7"/>
      <c r="B12" s="7"/>
      <c r="C12" s="7"/>
      <c r="D12" s="7"/>
      <c r="E12" s="7"/>
      <c r="F12" s="7"/>
      <c r="G12" s="7"/>
      <c r="H12" s="7"/>
      <c r="I12" s="7"/>
      <c r="J12" s="7"/>
      <c r="K12" s="7"/>
      <c r="L12" s="7"/>
      <c r="M12" s="7"/>
      <c r="N12" s="7"/>
    </row>
    <row r="13" spans="1:14" x14ac:dyDescent="0.25">
      <c r="A13" s="7"/>
      <c r="B13" s="7"/>
      <c r="C13" s="7"/>
      <c r="D13" s="7"/>
      <c r="E13" s="7"/>
      <c r="F13" s="7"/>
      <c r="G13" s="7"/>
      <c r="H13" s="7"/>
      <c r="I13" s="7"/>
      <c r="J13" s="7"/>
      <c r="K13" s="7"/>
      <c r="L13" s="7"/>
      <c r="M13" s="7"/>
      <c r="N13" s="7"/>
    </row>
    <row r="14" spans="1:14" x14ac:dyDescent="0.25">
      <c r="A14" s="7"/>
      <c r="B14" s="7"/>
      <c r="C14" s="7"/>
      <c r="D14" s="7"/>
      <c r="E14" s="7"/>
      <c r="F14" s="7"/>
      <c r="G14" s="7"/>
      <c r="H14" s="7"/>
      <c r="I14" s="7"/>
      <c r="J14" s="7"/>
      <c r="K14" s="7"/>
      <c r="L14" s="7"/>
      <c r="M14" s="7"/>
      <c r="N14" s="7"/>
    </row>
    <row r="15" spans="1:14" x14ac:dyDescent="0.25">
      <c r="A15" s="7"/>
      <c r="B15" s="7"/>
      <c r="C15" s="7"/>
      <c r="D15" s="7"/>
      <c r="E15" s="7"/>
      <c r="F15" s="7"/>
      <c r="G15" s="7"/>
      <c r="H15" s="7"/>
      <c r="I15" s="7"/>
      <c r="J15" s="7"/>
      <c r="K15" s="7"/>
      <c r="L15" s="7"/>
      <c r="M15" s="7"/>
      <c r="N15" s="7"/>
    </row>
    <row r="16" spans="1:14" x14ac:dyDescent="0.25">
      <c r="A16" s="7"/>
      <c r="B16" s="7"/>
      <c r="C16" s="7"/>
      <c r="D16" s="7"/>
      <c r="E16" s="7"/>
      <c r="F16" s="7"/>
      <c r="G16" s="7"/>
      <c r="H16" s="7"/>
      <c r="I16" s="7"/>
      <c r="J16" s="7"/>
      <c r="K16" s="7"/>
      <c r="L16" s="7"/>
      <c r="M16" s="7"/>
      <c r="N16" s="7"/>
    </row>
    <row r="17" spans="1:14" x14ac:dyDescent="0.25">
      <c r="A17" s="7"/>
      <c r="B17" s="7"/>
      <c r="C17" s="7"/>
      <c r="D17" s="7"/>
      <c r="E17" s="7"/>
      <c r="F17" s="7"/>
      <c r="G17" s="7"/>
      <c r="H17" s="7"/>
      <c r="I17" s="7"/>
      <c r="J17" s="7"/>
      <c r="K17" s="7"/>
      <c r="L17" s="7"/>
      <c r="M17" s="7"/>
      <c r="N17" s="7"/>
    </row>
    <row r="18" spans="1:14" x14ac:dyDescent="0.25">
      <c r="A18" s="7"/>
      <c r="B18" s="7"/>
      <c r="C18" s="7"/>
      <c r="D18" s="7"/>
      <c r="E18" s="7"/>
      <c r="F18" s="7"/>
      <c r="G18" s="7"/>
      <c r="H18" s="7"/>
      <c r="I18" s="7"/>
      <c r="J18" s="7"/>
      <c r="K18" s="7"/>
      <c r="L18" s="7"/>
      <c r="M18" s="7"/>
      <c r="N18" s="7"/>
    </row>
    <row r="19" spans="1:14" x14ac:dyDescent="0.25">
      <c r="A19" s="7"/>
      <c r="B19" s="7"/>
      <c r="C19" s="7"/>
      <c r="D19" s="7"/>
      <c r="E19" s="7"/>
      <c r="F19" s="7"/>
      <c r="G19" s="7"/>
      <c r="H19" s="7"/>
      <c r="I19" s="7"/>
      <c r="J19" s="7"/>
      <c r="K19" s="7"/>
      <c r="L19" s="7"/>
      <c r="M19" s="7"/>
      <c r="N19" s="7"/>
    </row>
    <row r="20" spans="1:14" x14ac:dyDescent="0.25">
      <c r="A20" s="7"/>
      <c r="B20" s="7"/>
      <c r="C20" s="7"/>
      <c r="D20" s="7"/>
      <c r="E20" s="7"/>
      <c r="F20" s="7"/>
      <c r="G20" s="7"/>
      <c r="H20" s="7"/>
      <c r="I20" s="7"/>
      <c r="J20" s="7"/>
      <c r="K20" s="7"/>
      <c r="L20" s="7"/>
      <c r="M20" s="7"/>
      <c r="N20" s="7"/>
    </row>
    <row r="21" spans="1:14" x14ac:dyDescent="0.25">
      <c r="A21" s="7"/>
      <c r="B21" s="7"/>
      <c r="C21" s="7"/>
      <c r="D21" s="7"/>
      <c r="E21" s="7"/>
      <c r="F21" s="7"/>
      <c r="G21" s="7"/>
      <c r="H21" s="7"/>
      <c r="I21" s="7"/>
      <c r="J21" s="7"/>
      <c r="K21" s="7"/>
      <c r="L21" s="7"/>
      <c r="M21" s="7"/>
      <c r="N21" s="7"/>
    </row>
    <row r="22" spans="1:14" x14ac:dyDescent="0.25">
      <c r="A22" s="7"/>
      <c r="B22" s="7"/>
      <c r="C22" s="7"/>
      <c r="D22" s="7"/>
      <c r="E22" s="7"/>
      <c r="F22" s="7"/>
      <c r="G22" s="7"/>
      <c r="H22" s="7"/>
      <c r="I22" s="7"/>
      <c r="J22" s="7"/>
      <c r="K22" s="7"/>
      <c r="L22" s="7"/>
      <c r="M22" s="7"/>
      <c r="N22" s="7"/>
    </row>
    <row r="23" spans="1:14" x14ac:dyDescent="0.25">
      <c r="A23" s="7"/>
      <c r="B23" s="7"/>
      <c r="C23" s="7"/>
      <c r="D23" s="7"/>
      <c r="E23" s="7"/>
      <c r="F23" s="7"/>
      <c r="G23" s="7"/>
      <c r="H23" s="7"/>
      <c r="I23" s="7"/>
      <c r="J23" s="7"/>
      <c r="K23" s="7"/>
      <c r="L23" s="7"/>
      <c r="M23" s="7"/>
      <c r="N23" s="7"/>
    </row>
    <row r="24" spans="1:14" x14ac:dyDescent="0.25">
      <c r="A24" s="7"/>
      <c r="B24" s="7"/>
      <c r="C24" s="7"/>
      <c r="D24" s="7"/>
      <c r="E24" s="7"/>
      <c r="F24" s="7"/>
      <c r="G24" s="7"/>
      <c r="H24" s="7"/>
      <c r="I24" s="7"/>
      <c r="J24" s="7"/>
      <c r="K24" s="7"/>
      <c r="L24" s="7"/>
      <c r="M24" s="7"/>
      <c r="N24" s="7"/>
    </row>
    <row r="25" spans="1:14" x14ac:dyDescent="0.25">
      <c r="A25" s="7"/>
      <c r="B25" s="7"/>
      <c r="C25" s="7"/>
      <c r="D25" s="7"/>
      <c r="E25" s="7"/>
      <c r="F25" s="7"/>
      <c r="G25" s="7"/>
      <c r="H25" s="7"/>
      <c r="I25" s="7"/>
      <c r="J25" s="7"/>
      <c r="K25" s="7"/>
      <c r="L25" s="7"/>
      <c r="M25" s="7"/>
      <c r="N25" s="7"/>
    </row>
    <row r="26" spans="1:14" x14ac:dyDescent="0.25">
      <c r="A26" s="7"/>
      <c r="B26" s="7"/>
      <c r="C26" s="7"/>
      <c r="D26" s="7"/>
      <c r="E26" s="7"/>
      <c r="F26" s="7"/>
      <c r="G26" s="7"/>
      <c r="H26" s="7"/>
      <c r="I26" s="7"/>
      <c r="J26" s="7"/>
      <c r="K26" s="7"/>
      <c r="L26" s="7"/>
      <c r="M26" s="7"/>
      <c r="N26" s="7"/>
    </row>
  </sheetData>
  <mergeCells count="1">
    <mergeCell ref="A1:N2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E5DE6D2-8765-463F-844B-1CF6D72EDAC1}">
  <ds:schemaRefs/>
</ds:datastoreItem>
</file>

<file path=customXml/itemProps2.xml><?xml version="1.0" encoding="utf-8"?>
<ds:datastoreItem xmlns:ds="http://schemas.openxmlformats.org/officeDocument/2006/customXml" ds:itemID="{C8115091-0E5D-4C28-82B7-C8C996AC0CB2}">
  <ds:schemaRefs/>
</ds:datastoreItem>
</file>

<file path=customXml/itemProps3.xml><?xml version="1.0" encoding="utf-8"?>
<ds:datastoreItem xmlns:ds="http://schemas.openxmlformats.org/officeDocument/2006/customXml" ds:itemID="{20D9C319-FA47-4D57-90A6-F48FFB2CD5E1}">
  <ds:schemaRefs/>
</ds:datastoreItem>
</file>

<file path=customXml/itemProps4.xml><?xml version="1.0" encoding="utf-8"?>
<ds:datastoreItem xmlns:ds="http://schemas.openxmlformats.org/officeDocument/2006/customXml" ds:itemID="{B06DCC6D-ED66-48C3-B1ED-715B0F36F669}">
  <ds:schemaRefs/>
</ds:datastoreItem>
</file>

<file path=customXml/itemProps5.xml><?xml version="1.0" encoding="utf-8"?>
<ds:datastoreItem xmlns:ds="http://schemas.openxmlformats.org/officeDocument/2006/customXml" ds:itemID="{793035BB-FA7A-4CFD-BFC4-6EE511BA715A}">
  <ds:schemaRefs/>
</ds:datastoreItem>
</file>

<file path=customXml/itemProps6.xml><?xml version="1.0" encoding="utf-8"?>
<ds:datastoreItem xmlns:ds="http://schemas.openxmlformats.org/officeDocument/2006/customXml" ds:itemID="{9E61537B-C0BE-494D-8C47-F3A0CBF68520}">
  <ds:schemaRefs/>
</ds:datastoreItem>
</file>

<file path=customXml/itemProps7.xml><?xml version="1.0" encoding="utf-8"?>
<ds:datastoreItem xmlns:ds="http://schemas.openxmlformats.org/officeDocument/2006/customXml" ds:itemID="{7EEE82D3-E530-45F4-8C9F-1C9CFE4190C9}">
  <ds:schemaRefs/>
</ds:datastoreItem>
</file>

<file path=customXml/itemProps8.xml><?xml version="1.0" encoding="utf-8"?>
<ds:datastoreItem xmlns:ds="http://schemas.openxmlformats.org/officeDocument/2006/customXml" ds:itemID="{2F87D0A8-E5F3-4D0F-95BC-147A38A9D545}">
  <ds:schemaRefs/>
</ds:datastoreItem>
</file>

<file path=customXml/itemProps9.xml><?xml version="1.0" encoding="utf-8"?>
<ds:datastoreItem xmlns:ds="http://schemas.openxmlformats.org/officeDocument/2006/customXml" ds:itemID="{92DEE8BE-9AF6-483A-99C8-D9E2E13521CA}">
  <ds:schemaRefs/>
</ds:datastoreItem>
</file>

<file path=customXml/itemProps10.xml><?xml version="1.0" encoding="utf-8"?>
<ds:datastoreItem xmlns:ds="http://schemas.openxmlformats.org/officeDocument/2006/customXml" ds:itemID="{E805CE14-299F-456E-8982-02FB5BFFFEAF}">
  <ds:schemaRefs/>
</ds:datastoreItem>
</file>

<file path=customXml/itemProps11.xml><?xml version="1.0" encoding="utf-8"?>
<ds:datastoreItem xmlns:ds="http://schemas.openxmlformats.org/officeDocument/2006/customXml" ds:itemID="{72F7AEB8-B511-4C4D-BE97-B9DC5689B46C}">
  <ds:schemaRefs/>
</ds:datastoreItem>
</file>

<file path=customXml/itemProps12.xml><?xml version="1.0" encoding="utf-8"?>
<ds:datastoreItem xmlns:ds="http://schemas.openxmlformats.org/officeDocument/2006/customXml" ds:itemID="{A0D86516-9A21-4618-8838-BE358203CD9A}">
  <ds:schemaRefs/>
</ds:datastoreItem>
</file>

<file path=customXml/itemProps13.xml><?xml version="1.0" encoding="utf-8"?>
<ds:datastoreItem xmlns:ds="http://schemas.openxmlformats.org/officeDocument/2006/customXml" ds:itemID="{D9889D93-4F2F-41A6-BAC7-5BBE40E077C2}">
  <ds:schemaRefs/>
</ds:datastoreItem>
</file>

<file path=customXml/itemProps14.xml><?xml version="1.0" encoding="utf-8"?>
<ds:datastoreItem xmlns:ds="http://schemas.openxmlformats.org/officeDocument/2006/customXml" ds:itemID="{473DCF3D-F224-43B4-97A6-D1C31DE0FB6E}">
  <ds:schemaRefs/>
</ds:datastoreItem>
</file>

<file path=customXml/itemProps15.xml><?xml version="1.0" encoding="utf-8"?>
<ds:datastoreItem xmlns:ds="http://schemas.openxmlformats.org/officeDocument/2006/customXml" ds:itemID="{952CFF13-E262-4C54-A904-761B71CBC271}">
  <ds:schemaRefs/>
</ds:datastoreItem>
</file>

<file path=customXml/itemProps16.xml><?xml version="1.0" encoding="utf-8"?>
<ds:datastoreItem xmlns:ds="http://schemas.openxmlformats.org/officeDocument/2006/customXml" ds:itemID="{1CD446CF-02D2-416B-8E96-0A9F065A9C92}">
  <ds:schemaRefs/>
</ds:datastoreItem>
</file>

<file path=customXml/itemProps17.xml><?xml version="1.0" encoding="utf-8"?>
<ds:datastoreItem xmlns:ds="http://schemas.openxmlformats.org/officeDocument/2006/customXml" ds:itemID="{6E30799C-D998-4235-8B35-04DA84EB0F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Pivot_Report</vt:lpstr>
      <vt:lpstr>Dashboard</vt:lpstr>
      <vt:lpstr>Department Reffral Of The Patie</vt:lpstr>
      <vt:lpstr>Average_Patient_Satisfaction_S </vt:lpstr>
      <vt:lpstr>Number Of Patients Chart</vt:lpstr>
      <vt:lpstr>Average Patient Waittime</vt:lpstr>
      <vt:lpstr>No.Of Patient By Age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Anudip</cp:lastModifiedBy>
  <dcterms:created xsi:type="dcterms:W3CDTF">2025-12-23T09:18:29Z</dcterms:created>
  <dcterms:modified xsi:type="dcterms:W3CDTF">2025-12-29T12:26:23Z</dcterms:modified>
</cp:coreProperties>
</file>